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40e5f0fc5aa36/Mestrado em Contabilidade/2025/2025.2c Visão Computacional/VC_TF/"/>
    </mc:Choice>
  </mc:AlternateContent>
  <xr:revisionPtr revIDLastSave="726" documentId="8_{6847705C-24B1-48D9-8A2E-910AAA3B95B9}" xr6:coauthVersionLast="47" xr6:coauthVersionMax="47" xr10:uidLastSave="{91B4B858-997A-42B9-8A73-C953E1C67021}"/>
  <bookViews>
    <workbookView xWindow="-110" yWindow="-110" windowWidth="19420" windowHeight="10300" xr2:uid="{67A9E084-A496-455D-B376-11C4100488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6" i="1"/>
  <c r="E13" i="1"/>
  <c r="E8" i="1"/>
  <c r="E19" i="1" s="1"/>
  <c r="F19" i="1"/>
  <c r="F18" i="1"/>
  <c r="F16" i="1"/>
  <c r="F13" i="1"/>
  <c r="G10" i="1" s="1"/>
  <c r="F8" i="1"/>
  <c r="H3" i="1" l="1"/>
  <c r="G17" i="1"/>
  <c r="G18" i="1" s="1"/>
  <c r="G14" i="1"/>
  <c r="G15" i="1"/>
  <c r="G9" i="1"/>
  <c r="G12" i="1"/>
  <c r="G11" i="1"/>
  <c r="G6" i="1"/>
  <c r="G4" i="1"/>
  <c r="G3" i="1"/>
  <c r="G7" i="1"/>
  <c r="G5" i="1"/>
  <c r="G16" i="1" l="1"/>
  <c r="H9" i="1"/>
  <c r="H10" i="1"/>
  <c r="H11" i="1"/>
  <c r="H16" i="1"/>
  <c r="H17" i="1"/>
  <c r="H7" i="1"/>
  <c r="H6" i="1"/>
  <c r="H12" i="1"/>
  <c r="G19" i="1"/>
  <c r="H18" i="1"/>
  <c r="H19" i="1"/>
  <c r="H13" i="1"/>
  <c r="H4" i="1"/>
  <c r="H5" i="1"/>
  <c r="H14" i="1"/>
  <c r="H8" i="1"/>
  <c r="H15" i="1"/>
  <c r="G13" i="1"/>
  <c r="G8" i="1"/>
</calcChain>
</file>

<file path=xl/sharedStrings.xml><?xml version="1.0" encoding="utf-8"?>
<sst xmlns="http://schemas.openxmlformats.org/spreadsheetml/2006/main" count="40" uniqueCount="28">
  <si>
    <t>Linhas</t>
  </si>
  <si>
    <t>Células</t>
  </si>
  <si>
    <t>Bloco</t>
  </si>
  <si>
    <t>Planejamento</t>
  </si>
  <si>
    <t>Configuração do Ambiente</t>
  </si>
  <si>
    <t>Instalação de Bibliotecas</t>
  </si>
  <si>
    <t>Autenticação (Planet Lab)</t>
  </si>
  <si>
    <t>Implementação do Recorte Espacial</t>
  </si>
  <si>
    <t>Pré-Processamento (Testes)</t>
  </si>
  <si>
    <t>Organização do Dataset</t>
  </si>
  <si>
    <t>Avaliação da Qualidade das Imagens</t>
  </si>
  <si>
    <t>Baixar Imagens</t>
  </si>
  <si>
    <t>Execução A</t>
  </si>
  <si>
    <t>Execução B</t>
  </si>
  <si>
    <t>Execução C</t>
  </si>
  <si>
    <t>SUBTOTAL</t>
  </si>
  <si>
    <t>(%) Bloco</t>
  </si>
  <si>
    <t>(%) Total</t>
  </si>
  <si>
    <t>Introdução (Markdown)</t>
  </si>
  <si>
    <t>Cálculo da Distância (K-Means + Mahalanobis)</t>
  </si>
  <si>
    <t>Aplicação no Dataset</t>
  </si>
  <si>
    <t>Execução B (Abordagem Clássica)</t>
  </si>
  <si>
    <t>Execução C (Abordagem Aprendizagem Profunda)</t>
  </si>
  <si>
    <t>Sentinel Hub</t>
  </si>
  <si>
    <t>Tempo de Execução</t>
  </si>
  <si>
    <t>Yolo 8 (Aplicação no Dataset)</t>
  </si>
  <si>
    <t>Script</t>
  </si>
  <si>
    <t xml:space="preserve">                                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</si>
</sst>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h:mm:ss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indent="1"/>
    </xf>
    <xf numFmtId="166" fontId="3" fillId="0" borderId="0" xfId="0" applyNumberFormat="1" applyFont="1" applyFill="1" applyAlignment="1">
      <alignment horizontal="center" vertical="center"/>
    </xf>
    <xf numFmtId="3" fontId="3" fillId="0" borderId="0" xfId="0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left" vertical="center" indent="1"/>
    </xf>
    <xf numFmtId="166" fontId="4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166" fontId="3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166" fontId="3" fillId="0" borderId="5" xfId="0" applyNumberFormat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indent="1"/>
    </xf>
    <xf numFmtId="166" fontId="4" fillId="2" borderId="5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164" fontId="4" fillId="2" borderId="5" xfId="1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6" fontId="3" fillId="4" borderId="5" xfId="0" applyNumberFormat="1" applyFont="1" applyFill="1" applyBorder="1" applyAlignment="1">
      <alignment horizontal="center" vertical="center" wrapText="1"/>
    </xf>
    <xf numFmtId="166" fontId="4" fillId="3" borderId="8" xfId="0" applyNumberFormat="1" applyFont="1" applyFill="1" applyBorder="1" applyAlignment="1">
      <alignment horizontal="center" vertical="center"/>
    </xf>
    <xf numFmtId="3" fontId="4" fillId="3" borderId="8" xfId="0" applyNumberFormat="1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indent="8"/>
    </xf>
    <xf numFmtId="0" fontId="4" fillId="2" borderId="5" xfId="0" applyFont="1" applyFill="1" applyBorder="1" applyAlignment="1">
      <alignment horizontal="left" vertical="center" indent="8"/>
    </xf>
    <xf numFmtId="0" fontId="4" fillId="3" borderId="8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009D-A9CD-4A37-920E-322B160F68F1}">
  <sheetPr codeName="Planilha1"/>
  <dimension ref="B1:H19"/>
  <sheetViews>
    <sheetView showGridLines="0" tabSelected="1" zoomScale="80" zoomScaleNormal="80" workbookViewId="0">
      <selection activeCell="L14" sqref="L14"/>
    </sheetView>
  </sheetViews>
  <sheetFormatPr defaultColWidth="12.1796875" defaultRowHeight="15.5" x14ac:dyDescent="0.35"/>
  <cols>
    <col min="1" max="1" width="12.1796875" style="5"/>
    <col min="2" max="2" width="6.90625" style="1" bestFit="1" customWidth="1"/>
    <col min="3" max="3" width="47" style="2" bestFit="1" customWidth="1"/>
    <col min="4" max="4" width="44.08984375" style="2" bestFit="1" customWidth="1"/>
    <col min="5" max="5" width="20.08984375" style="7" bestFit="1" customWidth="1"/>
    <col min="6" max="6" width="10.6328125" style="3" customWidth="1"/>
    <col min="7" max="7" width="10.6328125" style="6" customWidth="1"/>
    <col min="8" max="8" width="10.6328125" style="1" customWidth="1"/>
    <col min="9" max="16384" width="12.1796875" style="5"/>
  </cols>
  <sheetData>
    <row r="1" spans="2:8" s="13" customFormat="1" x14ac:dyDescent="0.35">
      <c r="B1" s="8"/>
      <c r="C1" s="9"/>
      <c r="D1" s="9"/>
      <c r="E1" s="10"/>
      <c r="F1" s="11"/>
      <c r="G1" s="12"/>
      <c r="H1" s="8"/>
    </row>
    <row r="2" spans="2:8" s="4" customFormat="1" ht="20" customHeight="1" x14ac:dyDescent="0.35">
      <c r="B2" s="37" t="s">
        <v>26</v>
      </c>
      <c r="C2" s="14" t="s">
        <v>2</v>
      </c>
      <c r="D2" s="14" t="s">
        <v>1</v>
      </c>
      <c r="E2" s="15" t="s">
        <v>24</v>
      </c>
      <c r="F2" s="16" t="s">
        <v>0</v>
      </c>
      <c r="G2" s="17" t="s">
        <v>16</v>
      </c>
      <c r="H2" s="18" t="s">
        <v>17</v>
      </c>
    </row>
    <row r="3" spans="2:8" ht="20" customHeight="1" x14ac:dyDescent="0.35">
      <c r="B3" s="38">
        <v>1</v>
      </c>
      <c r="C3" s="19" t="s">
        <v>23</v>
      </c>
      <c r="D3" s="19" t="s">
        <v>18</v>
      </c>
      <c r="E3" s="20">
        <v>1.1574074074074073E-5</v>
      </c>
      <c r="F3" s="21">
        <v>38</v>
      </c>
      <c r="G3" s="22">
        <f>F3/$F$8</f>
        <v>6.3973063973063973E-2</v>
      </c>
      <c r="H3" s="23">
        <f>F3/$F$19</f>
        <v>1.1319630622579685E-2</v>
      </c>
    </row>
    <row r="4" spans="2:8" ht="20" customHeight="1" x14ac:dyDescent="0.35">
      <c r="B4" s="38">
        <v>2</v>
      </c>
      <c r="C4" s="24" t="s">
        <v>3</v>
      </c>
      <c r="D4" s="24" t="s">
        <v>4</v>
      </c>
      <c r="E4" s="25">
        <v>1.1574074074074073E-5</v>
      </c>
      <c r="F4" s="21">
        <v>62</v>
      </c>
      <c r="G4" s="22">
        <f t="shared" ref="G4:G7" si="0">F4/$F$8</f>
        <v>0.10437710437710437</v>
      </c>
      <c r="H4" s="23">
        <f>F4/$F$19</f>
        <v>1.8468871015787907E-2</v>
      </c>
    </row>
    <row r="5" spans="2:8" ht="20" customHeight="1" x14ac:dyDescent="0.35">
      <c r="B5" s="38">
        <v>3</v>
      </c>
      <c r="C5" s="24" t="s">
        <v>3</v>
      </c>
      <c r="D5" s="24" t="s">
        <v>5</v>
      </c>
      <c r="E5" s="25">
        <v>1.1574074074074075E-4</v>
      </c>
      <c r="F5" s="21">
        <v>186</v>
      </c>
      <c r="G5" s="22">
        <f t="shared" si="0"/>
        <v>0.31313131313131315</v>
      </c>
      <c r="H5" s="23">
        <f>F5/$F$19</f>
        <v>5.5406613047363718E-2</v>
      </c>
    </row>
    <row r="6" spans="2:8" ht="20" customHeight="1" x14ac:dyDescent="0.35">
      <c r="B6" s="38">
        <v>4</v>
      </c>
      <c r="C6" s="24" t="s">
        <v>3</v>
      </c>
      <c r="D6" s="19" t="s">
        <v>6</v>
      </c>
      <c r="E6" s="25">
        <v>3.4722222222222222E-5</v>
      </c>
      <c r="F6" s="21">
        <v>169</v>
      </c>
      <c r="G6" s="22">
        <f t="shared" si="0"/>
        <v>0.28451178451178449</v>
      </c>
      <c r="H6" s="23">
        <f>F6/$F$19</f>
        <v>5.0342567768841225E-2</v>
      </c>
    </row>
    <row r="7" spans="2:8" ht="20" customHeight="1" x14ac:dyDescent="0.35">
      <c r="B7" s="38">
        <v>5</v>
      </c>
      <c r="C7" s="19" t="s">
        <v>3</v>
      </c>
      <c r="D7" s="19" t="s">
        <v>7</v>
      </c>
      <c r="E7" s="25">
        <v>1.1574074074074073E-5</v>
      </c>
      <c r="F7" s="21">
        <v>139</v>
      </c>
      <c r="G7" s="22">
        <f t="shared" si="0"/>
        <v>0.234006734006734</v>
      </c>
      <c r="H7" s="23">
        <f>F7/$F$19</f>
        <v>4.1406017277330953E-2</v>
      </c>
    </row>
    <row r="8" spans="2:8" s="4" customFormat="1" ht="20" customHeight="1" x14ac:dyDescent="0.35">
      <c r="B8" s="39" t="s">
        <v>3</v>
      </c>
      <c r="C8" s="40"/>
      <c r="D8" s="26" t="s">
        <v>15</v>
      </c>
      <c r="E8" s="27">
        <f>SUM(E3:E7)</f>
        <v>1.851851851851852E-4</v>
      </c>
      <c r="F8" s="28">
        <f>SUM(F3:F7)</f>
        <v>594</v>
      </c>
      <c r="G8" s="29">
        <f>SUM(G3:G7)</f>
        <v>1</v>
      </c>
      <c r="H8" s="30">
        <f>F8/$F$19</f>
        <v>0.17694369973190349</v>
      </c>
    </row>
    <row r="9" spans="2:8" ht="20" customHeight="1" x14ac:dyDescent="0.35">
      <c r="B9" s="38">
        <v>6</v>
      </c>
      <c r="C9" s="19" t="s">
        <v>12</v>
      </c>
      <c r="D9" s="19" t="s">
        <v>8</v>
      </c>
      <c r="E9" s="31">
        <v>8.3333333333333339E-4</v>
      </c>
      <c r="F9" s="21">
        <v>254</v>
      </c>
      <c r="G9" s="22">
        <f>F9/$F$13</f>
        <v>0.25502008032128515</v>
      </c>
      <c r="H9" s="23">
        <f>F9/$F$19</f>
        <v>7.5662794161453675E-2</v>
      </c>
    </row>
    <row r="10" spans="2:8" ht="20" customHeight="1" x14ac:dyDescent="0.35">
      <c r="B10" s="38">
        <v>7</v>
      </c>
      <c r="C10" s="19" t="s">
        <v>12</v>
      </c>
      <c r="D10" s="19" t="s">
        <v>9</v>
      </c>
      <c r="E10" s="31">
        <v>6.2384259259259259E-3</v>
      </c>
      <c r="F10" s="21">
        <v>376</v>
      </c>
      <c r="G10" s="22">
        <f t="shared" ref="G10:G12" si="1">F10/$F$13</f>
        <v>0.37751004016064255</v>
      </c>
      <c r="H10" s="23">
        <f>F10/$F$19</f>
        <v>0.11200476616026214</v>
      </c>
    </row>
    <row r="11" spans="2:8" ht="20" customHeight="1" x14ac:dyDescent="0.35">
      <c r="B11" s="38">
        <v>8</v>
      </c>
      <c r="C11" s="19" t="s">
        <v>12</v>
      </c>
      <c r="D11" s="19" t="s">
        <v>10</v>
      </c>
      <c r="E11" s="25">
        <v>1.1574074074074073E-5</v>
      </c>
      <c r="F11" s="21">
        <v>217</v>
      </c>
      <c r="G11" s="22">
        <f t="shared" si="1"/>
        <v>0.21787148594377509</v>
      </c>
      <c r="H11" s="23">
        <f>F11/$F$19</f>
        <v>6.4641048555257666E-2</v>
      </c>
    </row>
    <row r="12" spans="2:8" ht="20" customHeight="1" x14ac:dyDescent="0.35">
      <c r="B12" s="38">
        <v>9</v>
      </c>
      <c r="C12" s="19" t="s">
        <v>12</v>
      </c>
      <c r="D12" s="19" t="s">
        <v>11</v>
      </c>
      <c r="E12" s="31">
        <v>5.8796296296296296E-3</v>
      </c>
      <c r="F12" s="21">
        <v>149</v>
      </c>
      <c r="G12" s="22">
        <f t="shared" si="1"/>
        <v>0.14959839357429719</v>
      </c>
      <c r="H12" s="23">
        <f>F12/$F$19</f>
        <v>4.4384867441167708E-2</v>
      </c>
    </row>
    <row r="13" spans="2:8" s="4" customFormat="1" ht="20" customHeight="1" x14ac:dyDescent="0.35">
      <c r="B13" s="39" t="s">
        <v>12</v>
      </c>
      <c r="C13" s="40"/>
      <c r="D13" s="26" t="s">
        <v>15</v>
      </c>
      <c r="E13" s="27">
        <f>SUM(E9:E12)</f>
        <v>1.2962962962962964E-2</v>
      </c>
      <c r="F13" s="28">
        <f>SUM(F9:F12)</f>
        <v>996</v>
      </c>
      <c r="G13" s="29">
        <f>SUM(G9:G12)</f>
        <v>0.99999999999999989</v>
      </c>
      <c r="H13" s="30">
        <f>F13/$F$19</f>
        <v>0.29669347631814119</v>
      </c>
    </row>
    <row r="14" spans="2:8" ht="20" customHeight="1" x14ac:dyDescent="0.35">
      <c r="B14" s="38">
        <v>10</v>
      </c>
      <c r="C14" s="19" t="s">
        <v>21</v>
      </c>
      <c r="D14" s="19" t="s">
        <v>19</v>
      </c>
      <c r="E14" s="25">
        <v>2.3148148148148147E-5</v>
      </c>
      <c r="F14" s="21">
        <v>565</v>
      </c>
      <c r="G14" s="22">
        <f>F14/$F$16</f>
        <v>0.38175675675675674</v>
      </c>
      <c r="H14" s="23">
        <f>F14/$F$19</f>
        <v>0.1683050342567769</v>
      </c>
    </row>
    <row r="15" spans="2:8" ht="20" customHeight="1" x14ac:dyDescent="0.35">
      <c r="B15" s="38">
        <v>11</v>
      </c>
      <c r="C15" s="19" t="s">
        <v>13</v>
      </c>
      <c r="D15" s="19" t="s">
        <v>20</v>
      </c>
      <c r="E15" s="31">
        <v>1.2962962962962963E-3</v>
      </c>
      <c r="F15" s="21">
        <v>915</v>
      </c>
      <c r="G15" s="22">
        <f>F15/$F$16</f>
        <v>0.6182432432432432</v>
      </c>
      <c r="H15" s="23">
        <f>F15/$F$19</f>
        <v>0.27256478999106343</v>
      </c>
    </row>
    <row r="16" spans="2:8" s="4" customFormat="1" ht="20" customHeight="1" x14ac:dyDescent="0.35">
      <c r="B16" s="39" t="s">
        <v>13</v>
      </c>
      <c r="C16" s="40"/>
      <c r="D16" s="26" t="s">
        <v>15</v>
      </c>
      <c r="E16" s="27">
        <f>SUM(E14:E15)</f>
        <v>1.3194444444444445E-3</v>
      </c>
      <c r="F16" s="28">
        <f>SUM(F14:F15)</f>
        <v>1480</v>
      </c>
      <c r="G16" s="29">
        <f>SUM(G14:G15)</f>
        <v>1</v>
      </c>
      <c r="H16" s="30">
        <f>F16/$F$19</f>
        <v>0.44086982424784033</v>
      </c>
    </row>
    <row r="17" spans="2:8" ht="20" customHeight="1" x14ac:dyDescent="0.35">
      <c r="B17" s="38">
        <v>12</v>
      </c>
      <c r="C17" s="19" t="s">
        <v>22</v>
      </c>
      <c r="D17" s="19" t="s">
        <v>25</v>
      </c>
      <c r="E17" s="31">
        <v>2.2685185185185187E-3</v>
      </c>
      <c r="F17" s="21">
        <v>287</v>
      </c>
      <c r="G17" s="22">
        <f>F17/$F$18</f>
        <v>1</v>
      </c>
      <c r="H17" s="23">
        <f>F17/$F$19</f>
        <v>8.5492999702114977E-2</v>
      </c>
    </row>
    <row r="18" spans="2:8" s="4" customFormat="1" ht="20" customHeight="1" x14ac:dyDescent="0.35">
      <c r="B18" s="39" t="s">
        <v>14</v>
      </c>
      <c r="C18" s="40"/>
      <c r="D18" s="26" t="s">
        <v>15</v>
      </c>
      <c r="E18" s="27">
        <f>SUM(E17)</f>
        <v>2.2685185185185187E-3</v>
      </c>
      <c r="F18" s="28">
        <f>SUM(F17:F17)</f>
        <v>287</v>
      </c>
      <c r="G18" s="29">
        <f>SUM(G17:G17)</f>
        <v>1</v>
      </c>
      <c r="H18" s="30">
        <f>F18/$F$19</f>
        <v>8.5492999702114977E-2</v>
      </c>
    </row>
    <row r="19" spans="2:8" s="4" customFormat="1" ht="20" customHeight="1" x14ac:dyDescent="0.35">
      <c r="B19" s="36" t="s">
        <v>27</v>
      </c>
      <c r="C19" s="41"/>
      <c r="D19" s="41"/>
      <c r="E19" s="32">
        <f>SUM(E8,E13,E16,E18)</f>
        <v>1.6736111111111111E-2</v>
      </c>
      <c r="F19" s="33">
        <f>SUM(F8,F13,F16,F18)</f>
        <v>3357</v>
      </c>
      <c r="G19" s="34">
        <f>F19/$F$19</f>
        <v>1</v>
      </c>
      <c r="H19" s="35">
        <f>F19/$F$19</f>
        <v>1</v>
      </c>
    </row>
  </sheetData>
  <mergeCells count="5">
    <mergeCell ref="B19:D19"/>
    <mergeCell ref="B8:C8"/>
    <mergeCell ref="B13:C13"/>
    <mergeCell ref="B16:C16"/>
    <mergeCell ref="B18:C18"/>
  </mergeCells>
  <phoneticPr fontId="2" type="noConversion"/>
  <pageMargins left="0.511811024" right="0.511811024" top="0.78740157499999996" bottom="0.78740157499999996" header="0.31496062000000002" footer="0.31496062000000002"/>
  <ignoredErrors>
    <ignoredError sqref="G9 G10:G13 G16 G18 G14:G15 G1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Gomes de Oliveira</dc:creator>
  <cp:lastModifiedBy>Renato Gomes de Oliveira</cp:lastModifiedBy>
  <dcterms:created xsi:type="dcterms:W3CDTF">2025-11-06T19:58:33Z</dcterms:created>
  <dcterms:modified xsi:type="dcterms:W3CDTF">2025-12-07T19:31:25Z</dcterms:modified>
</cp:coreProperties>
</file>