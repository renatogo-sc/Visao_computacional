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b240e5f0fc5aa36/Mestrado em Contabilidade/2025/2025.2c Visão Computacional/VC_TF/RESULTADOS/"/>
    </mc:Choice>
  </mc:AlternateContent>
  <xr:revisionPtr revIDLastSave="61" documentId="11_36FD83EF5E7BE51A3F2D4C35C5AF04F3797A48D8" xr6:coauthVersionLast="47" xr6:coauthVersionMax="47" xr10:uidLastSave="{413A8EB3-6A10-4CD0-9302-A17134C2E3BA}"/>
  <bookViews>
    <workbookView xWindow="-110" yWindow="-110" windowWidth="19420" windowHeight="10300" activeTab="1" xr2:uid="{00000000-000D-0000-FFFF-FFFF00000000}"/>
  </bookViews>
  <sheets>
    <sheet name="Dataset" sheetId="1" r:id="rId1"/>
    <sheet name="Planilh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2" l="1"/>
  <c r="J5" i="2"/>
  <c r="J6" i="2"/>
  <c r="J7" i="2"/>
  <c r="J3" i="2"/>
  <c r="E8" i="2"/>
  <c r="F8" i="2"/>
  <c r="G8" i="2"/>
  <c r="H8" i="2"/>
  <c r="I8" i="2"/>
  <c r="D8" i="2"/>
  <c r="I4" i="2"/>
  <c r="I5" i="2"/>
  <c r="I6" i="2"/>
  <c r="I7" i="2"/>
  <c r="I3" i="2"/>
  <c r="E3" i="2"/>
  <c r="F3" i="2"/>
  <c r="G3" i="2"/>
  <c r="H3" i="2"/>
  <c r="H7" i="2" s="1"/>
  <c r="E4" i="2"/>
  <c r="F4" i="2"/>
  <c r="F7" i="2" s="1"/>
  <c r="G4" i="2"/>
  <c r="G7" i="2" s="1"/>
  <c r="H4" i="2"/>
  <c r="E5" i="2"/>
  <c r="E7" i="2" s="1"/>
  <c r="F5" i="2"/>
  <c r="G5" i="2"/>
  <c r="H5" i="2"/>
  <c r="E6" i="2"/>
  <c r="F6" i="2"/>
  <c r="G6" i="2"/>
  <c r="H6" i="2"/>
  <c r="D7" i="2"/>
  <c r="D4" i="2"/>
  <c r="D5" i="2"/>
  <c r="D6" i="2"/>
  <c r="D3" i="2"/>
</calcChain>
</file>

<file path=xl/sharedStrings.xml><?xml version="1.0" encoding="utf-8"?>
<sst xmlns="http://schemas.openxmlformats.org/spreadsheetml/2006/main" count="635" uniqueCount="336">
  <si>
    <t>DATA_IMG</t>
  </si>
  <si>
    <t>ANO</t>
  </si>
  <si>
    <t>MES</t>
  </si>
  <si>
    <t>ESTACAO</t>
  </si>
  <si>
    <t>ORDEM_ESTACAO</t>
  </si>
  <si>
    <t>CLOUD_PCT</t>
  </si>
  <si>
    <t>B02_MEAN</t>
  </si>
  <si>
    <t>B03_MEAN</t>
  </si>
  <si>
    <t>B04_MEAN</t>
  </si>
  <si>
    <t>B08_MEAN</t>
  </si>
  <si>
    <t>B11_MEAN</t>
  </si>
  <si>
    <t>B12_MEAN</t>
  </si>
  <si>
    <t>NDVI</t>
  </si>
  <si>
    <t>NDWI</t>
  </si>
  <si>
    <t>NBR2</t>
  </si>
  <si>
    <t>EVI</t>
  </si>
  <si>
    <t>SAVI</t>
  </si>
  <si>
    <t>BUFFER_KM</t>
  </si>
  <si>
    <t>RES_M</t>
  </si>
  <si>
    <t>SCENE_ID</t>
  </si>
  <si>
    <t>MAHALANOBIS</t>
  </si>
  <si>
    <t>P_VALUE</t>
  </si>
  <si>
    <t>Q_NUVENS_SCORE</t>
  </si>
  <si>
    <t>Q_HAZE_SCORE</t>
  </si>
  <si>
    <t>QUALIDADE_SCORE</t>
  </si>
  <si>
    <t>QUALIDADE_CLASSE</t>
  </si>
  <si>
    <t>2021-10-26</t>
  </si>
  <si>
    <t>2021-11-03</t>
  </si>
  <si>
    <t>2021-11-13</t>
  </si>
  <si>
    <t>2021-12-08</t>
  </si>
  <si>
    <t>2021-12-10</t>
  </si>
  <si>
    <t>2021-12-20</t>
  </si>
  <si>
    <t>2021-12-23</t>
  </si>
  <si>
    <t>2021-12-25</t>
  </si>
  <si>
    <t>2021-12-28</t>
  </si>
  <si>
    <t>2021-04-02</t>
  </si>
  <si>
    <t>2021-04-09</t>
  </si>
  <si>
    <t>2021-04-19</t>
  </si>
  <si>
    <t>2021-04-22</t>
  </si>
  <si>
    <t>2021-04-27</t>
  </si>
  <si>
    <t>2021-04-29</t>
  </si>
  <si>
    <t>2021-05-07</t>
  </si>
  <si>
    <t>2021-05-22</t>
  </si>
  <si>
    <t>2021-05-27</t>
  </si>
  <si>
    <t>2021-06-01</t>
  </si>
  <si>
    <t>2021-06-13</t>
  </si>
  <si>
    <t>2021-07-11</t>
  </si>
  <si>
    <t>2021-07-18</t>
  </si>
  <si>
    <t>2021-07-21</t>
  </si>
  <si>
    <t>2021-07-23</t>
  </si>
  <si>
    <t>2021-07-28</t>
  </si>
  <si>
    <t>2021-07-31</t>
  </si>
  <si>
    <t>2021-08-17</t>
  </si>
  <si>
    <t>2021-08-20</t>
  </si>
  <si>
    <t>2021-08-22</t>
  </si>
  <si>
    <t>2021-09-09</t>
  </si>
  <si>
    <t>2022-09-24</t>
  </si>
  <si>
    <t>2022-10-24</t>
  </si>
  <si>
    <t>2022-11-03</t>
  </si>
  <si>
    <t>2022-11-10</t>
  </si>
  <si>
    <t>2022-11-15</t>
  </si>
  <si>
    <t>2022-11-18</t>
  </si>
  <si>
    <t>2022-11-20</t>
  </si>
  <si>
    <t>2022-11-25</t>
  </si>
  <si>
    <t>2022-12-08</t>
  </si>
  <si>
    <t>2022-12-10</t>
  </si>
  <si>
    <t>2022-12-13</t>
  </si>
  <si>
    <t>2022-12-15</t>
  </si>
  <si>
    <t>2022-12-23</t>
  </si>
  <si>
    <t>2022-12-30</t>
  </si>
  <si>
    <t>2022-03-28</t>
  </si>
  <si>
    <t>2022-04-17</t>
  </si>
  <si>
    <t>2022-04-19</t>
  </si>
  <si>
    <t>2022-04-24</t>
  </si>
  <si>
    <t>2022-04-27</t>
  </si>
  <si>
    <t>2022-05-07</t>
  </si>
  <si>
    <t>2022-05-22</t>
  </si>
  <si>
    <t>2022-05-24</t>
  </si>
  <si>
    <t>2022-06-11</t>
  </si>
  <si>
    <t>2022-06-13</t>
  </si>
  <si>
    <t>2022-06-18</t>
  </si>
  <si>
    <t>2022-07-01</t>
  </si>
  <si>
    <t>2022-07-23</t>
  </si>
  <si>
    <t>2022-07-26</t>
  </si>
  <si>
    <t>2022-08-02</t>
  </si>
  <si>
    <t>2022-08-20</t>
  </si>
  <si>
    <t>2022-08-25</t>
  </si>
  <si>
    <t>2022-08-27</t>
  </si>
  <si>
    <t>2022-09-04</t>
  </si>
  <si>
    <t>2023-09-24</t>
  </si>
  <si>
    <t>2023-10-26</t>
  </si>
  <si>
    <t>2023-11-05</t>
  </si>
  <si>
    <t>2023-12-28</t>
  </si>
  <si>
    <t>2023-04-02</t>
  </si>
  <si>
    <t>2023-04-04</t>
  </si>
  <si>
    <t>2023-04-19</t>
  </si>
  <si>
    <t>2023-05-02</t>
  </si>
  <si>
    <t>2023-05-24</t>
  </si>
  <si>
    <t>2023-06-01</t>
  </si>
  <si>
    <t>2023-06-03</t>
  </si>
  <si>
    <t>2023-06-08</t>
  </si>
  <si>
    <t>2023-06-18</t>
  </si>
  <si>
    <t>2023-06-26</t>
  </si>
  <si>
    <t>2023-06-28</t>
  </si>
  <si>
    <t>2023-07-06</t>
  </si>
  <si>
    <t>2023-07-16</t>
  </si>
  <si>
    <t>2023-07-31</t>
  </si>
  <si>
    <t>2023-08-02</t>
  </si>
  <si>
    <t>2023-08-05</t>
  </si>
  <si>
    <t>2023-08-07</t>
  </si>
  <si>
    <t>2023-08-15</t>
  </si>
  <si>
    <t>2023-08-17</t>
  </si>
  <si>
    <t>2023-08-20</t>
  </si>
  <si>
    <t>2023-08-30</t>
  </si>
  <si>
    <t>2023-09-16</t>
  </si>
  <si>
    <t>2024-09-28</t>
  </si>
  <si>
    <t>2024-09-30</t>
  </si>
  <si>
    <t>2024-10-13</t>
  </si>
  <si>
    <t>2024-10-25</t>
  </si>
  <si>
    <t>2024-10-28</t>
  </si>
  <si>
    <t>2024-10-30</t>
  </si>
  <si>
    <t>2024-11-17</t>
  </si>
  <si>
    <t>2024-12-17</t>
  </si>
  <si>
    <t>2024-12-27</t>
  </si>
  <si>
    <t>2024-03-27</t>
  </si>
  <si>
    <t>2024-04-06</t>
  </si>
  <si>
    <t>2024-04-18</t>
  </si>
  <si>
    <t>2024-04-21</t>
  </si>
  <si>
    <t>2024-05-06</t>
  </si>
  <si>
    <t>2024-06-02</t>
  </si>
  <si>
    <t>2024-06-07</t>
  </si>
  <si>
    <t>2024-06-12</t>
  </si>
  <si>
    <t>2024-06-22</t>
  </si>
  <si>
    <t>2024-06-27</t>
  </si>
  <si>
    <t>2024-06-30</t>
  </si>
  <si>
    <t>2024-07-02</t>
  </si>
  <si>
    <t>2024-07-20</t>
  </si>
  <si>
    <t>2024-07-22</t>
  </si>
  <si>
    <t>2024-07-25</t>
  </si>
  <si>
    <t>2024-08-06</t>
  </si>
  <si>
    <t>2024-08-09</t>
  </si>
  <si>
    <t>2024-08-11</t>
  </si>
  <si>
    <t>2024-08-14</t>
  </si>
  <si>
    <t>2024-08-16</t>
  </si>
  <si>
    <t>2024-08-19</t>
  </si>
  <si>
    <t>2024-08-26</t>
  </si>
  <si>
    <t>2024-09-03</t>
  </si>
  <si>
    <t>2024-09-08</t>
  </si>
  <si>
    <t>2024-09-10</t>
  </si>
  <si>
    <t>2024-09-18</t>
  </si>
  <si>
    <t>2025-09-23</t>
  </si>
  <si>
    <t>2025-10-15</t>
  </si>
  <si>
    <t>2025-03-22</t>
  </si>
  <si>
    <t>2025-04-06</t>
  </si>
  <si>
    <t>2025-04-28</t>
  </si>
  <si>
    <t>2025-05-01</t>
  </si>
  <si>
    <t>2025-05-06</t>
  </si>
  <si>
    <t>2025-05-11</t>
  </si>
  <si>
    <t>2025-05-18</t>
  </si>
  <si>
    <t>2025-06-12</t>
  </si>
  <si>
    <t>2025-07-02</t>
  </si>
  <si>
    <t>2025-07-07</t>
  </si>
  <si>
    <t>2025-07-15</t>
  </si>
  <si>
    <t>2025-07-20</t>
  </si>
  <si>
    <t>2025-07-22</t>
  </si>
  <si>
    <t>2025-07-30</t>
  </si>
  <si>
    <t>2025-08-13</t>
  </si>
  <si>
    <t>2025-08-14</t>
  </si>
  <si>
    <t>2025-08-21</t>
  </si>
  <si>
    <t>2025-09-10</t>
  </si>
  <si>
    <t>2025-09-13</t>
  </si>
  <si>
    <t>primavera</t>
  </si>
  <si>
    <t>verão</t>
  </si>
  <si>
    <t>outono</t>
  </si>
  <si>
    <t>inverno</t>
  </si>
  <si>
    <t>S2B_MSIL2A_20211026T132239_N0301_R038_T22JEQ_20211026T155636</t>
  </si>
  <si>
    <t>S2A_MSIL2A_20211103T133231_N0301_R081_T22JEQ_20211103T160245</t>
  </si>
  <si>
    <t>S2A_MSIL2A_20211113T133231_N0301_R081_T22JEQ_20211113T160113</t>
  </si>
  <si>
    <t>S2B_MSIL2A_20211208T133219_N0301_R081_T22JEQ_20211208T155721</t>
  </si>
  <si>
    <t>S2A_MSIL2A_20211210T132231_N0301_R038_T22JEQ_20211210T155050</t>
  </si>
  <si>
    <t>S2A_MSIL2A_20211220T132231_N0301_R038_T22JEQ_20211220T154708</t>
  </si>
  <si>
    <t>S2A_MSIL2A_20211223T133231_N0301_R081_T22JEQ_20211223T160451</t>
  </si>
  <si>
    <t>S2B_MSIL2A_20211225T132229_N0301_R038_T22JEQ_20211225T154300</t>
  </si>
  <si>
    <t>S2B_MSIL2A_20211228T133219_N0301_R081_T22JEQ_20211228T155945</t>
  </si>
  <si>
    <t>S2B_MSIL2A_20210402T133219_N0300_R081_T22JEQ_20210402T154945</t>
  </si>
  <si>
    <t>S2B_MSIL2A_20210409T132229_N0300_R038_T22JEQ_20210409T153715</t>
  </si>
  <si>
    <t>S2B_MSIL2A_20210419T132229_N0300_R038_T22JEQ_20210419T153722</t>
  </si>
  <si>
    <t>S2B_MSIL2A_20210422T133219_N0300_R081_T22JEQ_20210422T154725</t>
  </si>
  <si>
    <t>S2A_MSIL2A_20210427T133221_N0300_R081_T22JEQ_20210427T172609</t>
  </si>
  <si>
    <t>S2B_MSIL2A_20210429T132229_N0300_R038_T22JEQ_20210429T185345</t>
  </si>
  <si>
    <t>S2A_MSIL2A_20210507T133221_N0300_R081_T22JEQ_20210507T172509</t>
  </si>
  <si>
    <t>S2B_MSIL2A_20210522T133229_N0300_R081_T22JEQ_20210522T155748</t>
  </si>
  <si>
    <t>S2A_MSIL2A_20210527T133231_N0300_R081_T22JEQ_20210527T173815</t>
  </si>
  <si>
    <t>S2B_MSIL2A_20210601T133229_N0300_R081_T22JEQ_20210601T155500</t>
  </si>
  <si>
    <t>S2A_MSIL2A_20210613T132231_N0300_R038_T22JEQ_20210613T171719</t>
  </si>
  <si>
    <t>S2B_MSIL2A_20210711T133229_N0301_R081_T22JEQ_20210711T155614</t>
  </si>
  <si>
    <t>S2B_MSIL2A_20210718T132239_N0301_R038_T22JEQ_20210718T154429</t>
  </si>
  <si>
    <t>S2B_MSIL2A_20210721T133229_N0301_R081_T22JEQ_20210721T155515</t>
  </si>
  <si>
    <t>S2A_MSIL2A_20210723T132241_N0301_R038_T22JEQ_20210723T171952</t>
  </si>
  <si>
    <t>S2B_MSIL2A_20210728T132239_N0301_R038_T22JEQ_20210728T155746</t>
  </si>
  <si>
    <t>S2B_MSIL2A_20210731T133229_N0301_R081_T22JEQ_20210731T155249</t>
  </si>
  <si>
    <t>S2B_MSIL2A_20210817T132229_N0301_R038_T22JEQ_20210817T154101</t>
  </si>
  <si>
    <t>S2B_MSIL2A_20210820T133229_N0301_R081_T22JEQ_20210820T161326</t>
  </si>
  <si>
    <t>S2A_MSIL2A_20210822T132241_N0301_R038_T22JEQ_20210822T172047</t>
  </si>
  <si>
    <t>S2B_MSIL2A_20210909T133029_N0301_R081_T22JEQ_20210909T160537</t>
  </si>
  <si>
    <t>S2B_MSIL2A_20220924T133149_N0400_R081_T22JEQ_20220924T173829</t>
  </si>
  <si>
    <t>S2B_MSIL2A_20221024T133149_N0400_R081_T22JEQ_20221024T155124</t>
  </si>
  <si>
    <t>S2B_MSIL2A_20221103T133149_N0400_R081_T22JEQ_20221103T191500</t>
  </si>
  <si>
    <t>S2B_MSIL2A_20221110T132229_N0400_R038_T22JEQ_20221110T153845</t>
  </si>
  <si>
    <t>S2A_MSIL2A_20221115T132241_N0400_R038_T22JEQ_20221115T183900</t>
  </si>
  <si>
    <t>S2A_MSIL2A_20221118T133151_N0400_R081_T22JEQ_20221118T183855</t>
  </si>
  <si>
    <t>S2B_MSIL2A_20221120T132229_N0400_R038_T22JEQ_20221120T154704</t>
  </si>
  <si>
    <t>S2A_MSIL2A_20221125T132231_N0400_R038_T22JEQ_20221125T185401</t>
  </si>
  <si>
    <t>S2A_MSIL2A_20221208T133151_N0509_R081_T22JEQ_20221208T181351</t>
  </si>
  <si>
    <t>S2B_MSIL2A_20221210T132229_N0509_R038_T22JEQ_20221210T154710</t>
  </si>
  <si>
    <t>S2B_MSIL2A_20221213T133149_N0509_R081_T22JEQ_20221213T160518</t>
  </si>
  <si>
    <t>S2A_MSIL2A_20221215T132231_N0509_R038_T22JEQ_20221215T175853</t>
  </si>
  <si>
    <t>S2B_MSIL2A_20221223T133149_N0509_R081_T22JEQ_20221223T160348</t>
  </si>
  <si>
    <t>S2B_MSIL2A_20221230T132229_N0509_R038_T22JEQ_20221230T154356</t>
  </si>
  <si>
    <t>S2B_MSIL2A_20220328T133219_N0400_R081_T22JEQ_20220328T162352</t>
  </si>
  <si>
    <t>S2B_MSIL2A_20220417T133219_N0400_R081_T22JEQ_20220417T162526</t>
  </si>
  <si>
    <t>S2A_MSIL2A_20220419T132241_N0400_R038_T22JEQ_20220419T175329</t>
  </si>
  <si>
    <t>S2B_MSIL2A_20220424T132229_N0400_R038_T22JEQ_20220424T162837</t>
  </si>
  <si>
    <t>S2B_MSIL2A_20220427T133219_N0400_R081_T22JEQ_20220427T162859</t>
  </si>
  <si>
    <t>S2B_MSIL2A_20220507T133219_N0400_R081_T22JEQ_20220507T161344</t>
  </si>
  <si>
    <t>S2A_MSIL2A_20220522T133231_N0400_R081_T22JEQ_20220522T210517</t>
  </si>
  <si>
    <t>S2B_MSIL2A_20220524T132239_N0400_R038_T22JEQ_20220524T155420</t>
  </si>
  <si>
    <t>S2A_MSIL2A_20220611T133201_N0400_R081_T22JEQ_20220611T202414</t>
  </si>
  <si>
    <t>S2B_MSIL2A_20220613T132239_N0400_R038_T22JEQ_20220613T154926</t>
  </si>
  <si>
    <t>S2A_MSIL2A_20220618T132241_N0400_R038_T22JEQ_20220618T203016</t>
  </si>
  <si>
    <t>S2A_MSIL2A_20220701T133201_N0400_R081_T22JEQ_20220701T211311</t>
  </si>
  <si>
    <t>S2B_MSIL2A_20220723T132239_N0400_R038_T22JEQ_20220723T153603</t>
  </si>
  <si>
    <t>S2B_MSIL2A_20220726T133149_N0400_R081_T22JEQ_20220726T172355</t>
  </si>
  <si>
    <t>S2B_MSIL2A_20220802T132239_N0400_R038_T22JEQ_20220802T153729</t>
  </si>
  <si>
    <t>S2A_MSIL2A_20220820T133201_N0400_R081_T22JEQ_20220820T210821</t>
  </si>
  <si>
    <t>S2B_MSIL2A_20220825T133149_N0400_R081_T22JEQ_20220825T192124</t>
  </si>
  <si>
    <t>S2A_MSIL2A_20220827T132251_N0400_R038_T22JEQ_20220827T200157</t>
  </si>
  <si>
    <t>S2B_MSIL2A_20220904T133149_N0400_R081_T22JEQ_20220904T154537</t>
  </si>
  <si>
    <t>S2A_MSIL2A_20230924T133151_N0509_R081_T22JEQ_20230924T195058</t>
  </si>
  <si>
    <t>S2B_MSIL2A_20231026T132239_N0509_R038_T22JEQ_20231026T185329</t>
  </si>
  <si>
    <t>S2B_MSIL2A_20231105T132239_N0509_R038_T22JEQ_20231105T154533</t>
  </si>
  <si>
    <t>S2B_MSIL2A_20231228T133149_N0510_R081_T22JEQ_20231228T155240</t>
  </si>
  <si>
    <t>S2B_MSIL2A_20230402T133149_N0509_R081_T22JEQ_20230402T155538</t>
  </si>
  <si>
    <t>S2A_MSIL2A_20230404T132231_N0509_R038_T22JEQ_20230404T201359</t>
  </si>
  <si>
    <t>S2B_MSIL2A_20230419T132239_N0509_R038_T22JEQ_20230419T154433</t>
  </si>
  <si>
    <t>S2B_MSIL2A_20230502T133149_N0509_R081_T22JEQ_20230502T160255</t>
  </si>
  <si>
    <t>S2A_MSIL2A_20230524T132241_N0509_R038_T22JEQ_20230524T193656</t>
  </si>
  <si>
    <t>S2B_MSIL2A_20230601T133149_N0509_R081_T22JEQ_20230601T191402</t>
  </si>
  <si>
    <t>S2A_MSIL2A_20230603T132241_N0509_R038_T22JEQ_20230603T201151</t>
  </si>
  <si>
    <t>S2B_MSIL2A_20230608T132239_N0509_R038_T22JEQ_20230608T154659</t>
  </si>
  <si>
    <t>S2B_MSIL2A_20230618T132239_N0509_R038_T22JEQ_20230618T154345</t>
  </si>
  <si>
    <t>S2A_MSIL2A_20230626T133151_N0509_R081_T22JEQ_20230626T204257</t>
  </si>
  <si>
    <t>S2B_MSIL2A_20230628T132239_N0509_R038_T22JEQ_20230628T154220</t>
  </si>
  <si>
    <t>S2A_MSIL2A_20230706T133151_N0509_R081_T22JEQ_20230706T205954</t>
  </si>
  <si>
    <t>S2A_MSIL2A_20230716T133151_N0509_R081_T22JEQ_20230716T210254</t>
  </si>
  <si>
    <t>S2B_MSIL2A_20230731T133149_N0509_R081_T22JEQ_20230731T160106</t>
  </si>
  <si>
    <t>S2A_MSIL2A_20230802T132241_N0509_R038_T22JEQ_20230802T201905</t>
  </si>
  <si>
    <t>S2A_MSIL2A_20230805T133151_N0509_R081_T22JEQ_20230805T204659</t>
  </si>
  <si>
    <t>S2B_MSIL2A_20230807T132239_N0509_R038_T22JEQ_20230807T154214</t>
  </si>
  <si>
    <t>S2A_MSIL2A_20230815T133151_N0509_R081_T22JEQ_20230815T201459</t>
  </si>
  <si>
    <t>S2B_MSIL2A_20230817T132239_N0509_R038_T22JEQ_20230817T154959</t>
  </si>
  <si>
    <t>S2B_MSIL2A_20230820T133149_N0509_R081_T22JEQ_20230820T160409</t>
  </si>
  <si>
    <t>S2B_MSIL2A_20230830T133149_N0509_R081_T22JEQ_20230830T160404</t>
  </si>
  <si>
    <t>S2B_MSIL2A_20230916T132239_N0509_R038_T22JEQ_20230916T171521</t>
  </si>
  <si>
    <t>S2A_MSIL2A_20240928T133151_N0511_R081_T22JEQ_20240928T180948</t>
  </si>
  <si>
    <t>S2B_MSIL2A_20240930T132239_N0511_R038_T22JEQ_20240930T170806</t>
  </si>
  <si>
    <t>S2B_MSIL2A_20241013T133149_N0511_R081_T22JEQ_20241013T153901</t>
  </si>
  <si>
    <t>S2A_MSIL2A_20241025T132231_N0511_R038_T22JEQ_20241025T164750</t>
  </si>
  <si>
    <t>S2A_MSIL2A_20241028T133151_N0511_R081_T22JEQ_20241028T165348</t>
  </si>
  <si>
    <t>S2B_MSIL2A_20241030T132229_N0511_R038_T22JEQ_20241030T164040</t>
  </si>
  <si>
    <t>S2A_MSIL2A_20241117T133151_N0511_R081_T22JEQ_20241117T170646</t>
  </si>
  <si>
    <t>S2A_MSIL2A_20241217T133141_N0511_R081_T22JEQ_20241217T170156</t>
  </si>
  <si>
    <t>S2A_MSIL2A_20241227T133151_N0511_R081_T22JEQ_20241227T171151</t>
  </si>
  <si>
    <t>S2B_MSIL2A_20240327T133149_N0510_R081_T22JEQ_20240327T170542</t>
  </si>
  <si>
    <t>S2B_MSIL2A_20240327T133149_N0510_R081_T22JEQ_20240327T154150</t>
  </si>
  <si>
    <t>S2B_MSIL2A_20240406T133149_N0510_R081_T22JEQ_20240406T154659</t>
  </si>
  <si>
    <t>S2A_MSIL2A_20240418T132241_N0510_R038_T22JEQ_20240418T182952</t>
  </si>
  <si>
    <t>S2A_MSIL2A_20240421T133151_N0510_R081_T22JEQ_20240421T204952</t>
  </si>
  <si>
    <t>S2B_MSIL2A_20240506T133149_N0510_R081_T22JEQ_20240506T154438</t>
  </si>
  <si>
    <t>S2B_MSIL2A_20240602T132239_N0510_R038_T22JEQ_20240602T142712</t>
  </si>
  <si>
    <t>S2A_MSIL2A_20240607T132241_N0510_R038_T22JEQ_20240607T192207</t>
  </si>
  <si>
    <t>S2B_MSIL2A_20240612T132239_N0510_R038_T22JEQ_20240612T152839</t>
  </si>
  <si>
    <t>S2B_MSIL2A_20240622T132239_N0510_R038_T22JEQ_20240622T142604</t>
  </si>
  <si>
    <t>S2A_MSIL2A_20240627T132241_N0510_R038_T22JEQ_20240627T201551</t>
  </si>
  <si>
    <t>S2A_MSIL2A_20240630T133151_N0510_R081_T22JEQ_20240630T202454</t>
  </si>
  <si>
    <t>S2B_MSIL2A_20240702T132239_N0510_R038_T22JEQ_20240702T153322</t>
  </si>
  <si>
    <t>S2A_MSIL2A_20240720T133151_N0510_R081_T22JEQ_20240720T184454</t>
  </si>
  <si>
    <t>S2B_MSIL2A_20240722T132239_N0510_R038_T22JEQ_20240722T153350</t>
  </si>
  <si>
    <t>S2B_MSIL2A_20240725T133149_N0511_R081_T22JEQ_20240725T190313</t>
  </si>
  <si>
    <t>S2A_MSIL2A_20240806T132231_N0511_R038_T22JEQ_20240806T171151</t>
  </si>
  <si>
    <t>S2A_MSIL2A_20240809T133151_N0511_R081_T22JEQ_20240809T194951</t>
  </si>
  <si>
    <t>S2B_MSIL2A_20240811T132239_N0511_R038_T22JEQ_20241007T113210</t>
  </si>
  <si>
    <t>S2B_MSIL2A_20240814T133149_N0511_R081_T22JEQ_20240814T152724</t>
  </si>
  <si>
    <t>S2A_MSIL2A_20240816T132231_N0511_R038_T22JEQ_20240816T164947</t>
  </si>
  <si>
    <t>S2A_MSIL2A_20240819T133141_N0511_R081_T22JEQ_20240819T182249</t>
  </si>
  <si>
    <t>S2A_MSIL2A_20240826T132231_N0511_R038_T22JEQ_20240826T184153</t>
  </si>
  <si>
    <t>S2B_MSIL2A_20240903T133149_N0511_R081_T22JEQ_20240903T170747</t>
  </si>
  <si>
    <t>S2A_MSIL2A_20240908T133151_N0511_R081_T22JEQ_20240908T193848</t>
  </si>
  <si>
    <t>S2B_MSIL2A_20240910T132239_N0511_R038_T22JEQ_20240910T152851</t>
  </si>
  <si>
    <t>S2A_MSIL2A_20240918T133151_N0511_R081_T22JEQ_20240918T210750</t>
  </si>
  <si>
    <t>S2C_MSIL2A_20250923T133201_N0511_R081_T22JEQ_20250923T193514</t>
  </si>
  <si>
    <t>S2A_MSIL2A_20251015T133241_N0511_R081_T22JEQ_20251015T181019</t>
  </si>
  <si>
    <t>S2B_MSIL2A_20251015T132229_N0511_R038_T22JEQ_20251015T151216</t>
  </si>
  <si>
    <t>S2B_MSIL2A_20250322T133149_N0511_R081_T22JEQ_20250322T170533</t>
  </si>
  <si>
    <t>S2C_MSIL2A_20250406T133211_N0511_R081_T22JEQ_20250406T202712</t>
  </si>
  <si>
    <t>S2A_MSIL2A_20250428T133241_N0511_R081_T22JEQ_20250429T011214</t>
  </si>
  <si>
    <t>S2B_MSIL2A_20250428T132239_N0511_R038_T22JEQ_20250428T170041</t>
  </si>
  <si>
    <t>S2B_MSIL2A_20250501T133149_N0511_R081_T22JEQ_20250501T170530</t>
  </si>
  <si>
    <t>S2C_MSIL2A_20250506T133211_N0511_R081_T22JEQ_20250506T170012</t>
  </si>
  <si>
    <t>S2B_MSIL2A_20250511T133149_N0511_R081_T22JEQ_20250511T165419</t>
  </si>
  <si>
    <t>S2A_MSIL2A_20250518T133241_N0511_R081_T22JEQ_20250518T180712</t>
  </si>
  <si>
    <t>S2B_MSIL2A_20250518T132239_N0511_R038_T22JEQ_20250518T151359</t>
  </si>
  <si>
    <t>S2C_MSIL2A_20250612T132251_N0511_R038_T22JEQ_20250612T163415</t>
  </si>
  <si>
    <t>S2C_MSIL2A_20250702T132251_N0511_R038_T22JEQ_20250702T175815</t>
  </si>
  <si>
    <t>S2B_MSIL2A_20250707T132239_N0511_R038_T22JEQ_20250707T151242</t>
  </si>
  <si>
    <t>S2C_MSIL2A_20250715T133251_N0511_R081_T22JEQ_20250715T182913</t>
  </si>
  <si>
    <t>S2B_MSIL2A_20250720T133149_N0511_R081_T22JEQ_20250720T170301</t>
  </si>
  <si>
    <t>S2C_MSIL2A_20250722T132301_N0511_R038_T22JEQ_20250722T164213</t>
  </si>
  <si>
    <t>S2B_MSIL2A_20250730T133149_N0511_R081_T22JEQ_20250730T153402</t>
  </si>
  <si>
    <t>S2A_MSIL2A_20250813T132251_N0511_R038_T22JEQ_20250813T191315</t>
  </si>
  <si>
    <t>S2C_MSIL2A_20250814T133201_N0511_R081_T22JEQ_20250814T193313</t>
  </si>
  <si>
    <t>S2C_MSIL2A_20250814T133201_N0511_R081_T22JEQ_20250814T181559</t>
  </si>
  <si>
    <t>S2C_MSIL2A_20250821T132251_N0511_R038_T22JEQ_20250821T170915</t>
  </si>
  <si>
    <t>S2C_MSIL2A_20250910T132251_N0511_R038_T22JEQ_20250910T180713</t>
  </si>
  <si>
    <t>S2C_MSIL2A_20250913T133201_N0511_R081_T22JEQ_20250913T193212</t>
  </si>
  <si>
    <t>A</t>
  </si>
  <si>
    <t>B</t>
  </si>
  <si>
    <t>D</t>
  </si>
  <si>
    <t>C</t>
  </si>
  <si>
    <t>Estação</t>
  </si>
  <si>
    <t>Primavera</t>
  </si>
  <si>
    <t>Verão</t>
  </si>
  <si>
    <t>Outono</t>
  </si>
  <si>
    <t>Inverno</t>
  </si>
  <si>
    <t>Total</t>
  </si>
  <si>
    <t>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</si>
</sst>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Roboto"/>
    </font>
    <font>
      <sz val="14"/>
      <color theme="1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1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 inden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9" fontId="3" fillId="0" borderId="0" xfId="1" applyFont="1" applyAlignment="1">
      <alignment horizontal="center" vertical="center"/>
    </xf>
    <xf numFmtId="0" fontId="4" fillId="0" borderId="5" xfId="0" applyFont="1" applyBorder="1" applyAlignment="1">
      <alignment horizontal="left" vertical="center" indent="1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9" fontId="3" fillId="0" borderId="6" xfId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9" fontId="3" fillId="2" borderId="6" xfId="1" applyFont="1" applyFill="1" applyBorder="1" applyAlignment="1">
      <alignment horizontal="center" vertical="center"/>
    </xf>
    <xf numFmtId="0" fontId="3" fillId="0" borderId="5" xfId="0" applyFont="1" applyBorder="1" applyAlignment="1">
      <alignment horizontal="left" vertical="center" indent="1"/>
    </xf>
    <xf numFmtId="9" fontId="3" fillId="0" borderId="9" xfId="1" applyFont="1" applyBorder="1" applyAlignment="1">
      <alignment horizontal="center" vertical="center"/>
    </xf>
    <xf numFmtId="0" fontId="3" fillId="3" borderId="7" xfId="0" applyFont="1" applyFill="1" applyBorder="1" applyAlignment="1">
      <alignment horizontal="left" vertical="center" indent="1"/>
    </xf>
    <xf numFmtId="9" fontId="3" fillId="3" borderId="8" xfId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 indent="1"/>
    </xf>
    <xf numFmtId="0" fontId="3" fillId="3" borderId="3" xfId="0" applyFont="1" applyFill="1" applyBorder="1" applyAlignment="1">
      <alignment horizontal="center" vertical="center"/>
    </xf>
    <xf numFmtId="9" fontId="3" fillId="3" borderId="4" xfId="1" applyFont="1" applyFill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51"/>
  <sheetViews>
    <sheetView topLeftCell="A134" workbookViewId="0">
      <selection activeCell="Q1" sqref="Q1:Q1048576"/>
    </sheetView>
  </sheetViews>
  <sheetFormatPr defaultRowHeight="14.5" x14ac:dyDescent="0.35"/>
  <sheetData>
    <row r="1" spans="1: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5">
      <c r="A2" t="s">
        <v>26</v>
      </c>
      <c r="B2">
        <v>2021</v>
      </c>
      <c r="C2">
        <v>10</v>
      </c>
      <c r="D2" t="s">
        <v>171</v>
      </c>
      <c r="E2">
        <v>1</v>
      </c>
      <c r="F2">
        <v>2.97</v>
      </c>
      <c r="G2">
        <v>3.7622969597578049E-2</v>
      </c>
      <c r="H2">
        <v>6.3541606068611145E-2</v>
      </c>
      <c r="I2">
        <v>5.8141060173511512E-2</v>
      </c>
      <c r="J2">
        <v>0.27324527502059942</v>
      </c>
      <c r="K2">
        <v>0.1921849250793457</v>
      </c>
      <c r="L2">
        <v>0.1187419891357422</v>
      </c>
      <c r="M2">
        <v>0.64910411834716797</v>
      </c>
      <c r="N2">
        <v>-0.62265986204147339</v>
      </c>
      <c r="O2">
        <v>-0.23620642721652979</v>
      </c>
      <c r="P2">
        <v>0.40133801102638239</v>
      </c>
      <c r="Q2">
        <v>0.38809436559677118</v>
      </c>
      <c r="R2">
        <v>2</v>
      </c>
      <c r="S2">
        <v>10</v>
      </c>
      <c r="T2" t="s">
        <v>175</v>
      </c>
      <c r="U2">
        <v>0.57343305071337947</v>
      </c>
      <c r="V2">
        <v>0.99934487441585784</v>
      </c>
      <c r="W2">
        <v>92.6</v>
      </c>
      <c r="X2">
        <v>100</v>
      </c>
      <c r="Y2">
        <v>94.8</v>
      </c>
      <c r="Z2" t="s">
        <v>325</v>
      </c>
    </row>
    <row r="3" spans="1:26" x14ac:dyDescent="0.35">
      <c r="A3" t="s">
        <v>27</v>
      </c>
      <c r="B3">
        <v>2021</v>
      </c>
      <c r="C3">
        <v>11</v>
      </c>
      <c r="D3" t="s">
        <v>171</v>
      </c>
      <c r="E3">
        <v>1</v>
      </c>
      <c r="F3">
        <v>2.7</v>
      </c>
      <c r="G3">
        <v>4.7508254647254937E-2</v>
      </c>
      <c r="H3">
        <v>7.1212723851203918E-2</v>
      </c>
      <c r="I3">
        <v>6.8836450576782227E-2</v>
      </c>
      <c r="J3">
        <v>0.25170481204986572</v>
      </c>
      <c r="K3">
        <v>0.1844868212938309</v>
      </c>
      <c r="L3">
        <v>0.1127984449267387</v>
      </c>
      <c r="M3">
        <v>0.57049864530563354</v>
      </c>
      <c r="N3">
        <v>-0.55894178152084351</v>
      </c>
      <c r="O3">
        <v>-0.24114339053630829</v>
      </c>
      <c r="P3">
        <v>0.34940910339355469</v>
      </c>
      <c r="Q3">
        <v>0.3342946469783783</v>
      </c>
      <c r="R3">
        <v>2</v>
      </c>
      <c r="S3">
        <v>10</v>
      </c>
      <c r="T3" t="s">
        <v>176</v>
      </c>
      <c r="U3">
        <v>2.6710142733008282</v>
      </c>
      <c r="V3">
        <v>0.30860414434159772</v>
      </c>
      <c r="W3">
        <v>93.2</v>
      </c>
      <c r="X3">
        <v>100</v>
      </c>
      <c r="Y3">
        <v>95.2</v>
      </c>
      <c r="Z3" t="s">
        <v>325</v>
      </c>
    </row>
    <row r="4" spans="1:26" x14ac:dyDescent="0.35">
      <c r="A4" t="s">
        <v>28</v>
      </c>
      <c r="B4">
        <v>2021</v>
      </c>
      <c r="C4">
        <v>11</v>
      </c>
      <c r="D4" t="s">
        <v>171</v>
      </c>
      <c r="E4">
        <v>1</v>
      </c>
      <c r="F4">
        <v>10.35</v>
      </c>
      <c r="G4">
        <v>5.0825890153646469E-2</v>
      </c>
      <c r="H4">
        <v>7.4396885931491852E-2</v>
      </c>
      <c r="I4">
        <v>7.1891508996486664E-2</v>
      </c>
      <c r="J4">
        <v>0.27255773544311518</v>
      </c>
      <c r="K4">
        <v>0.1868304759263992</v>
      </c>
      <c r="L4">
        <v>0.1177263781428337</v>
      </c>
      <c r="M4">
        <v>0.58257120847702026</v>
      </c>
      <c r="N4">
        <v>-0.57114344835281372</v>
      </c>
      <c r="O4">
        <v>-0.22690048813819891</v>
      </c>
      <c r="P4">
        <v>0.37927025556564331</v>
      </c>
      <c r="Q4">
        <v>0.35644453763961792</v>
      </c>
      <c r="R4">
        <v>2</v>
      </c>
      <c r="S4">
        <v>10</v>
      </c>
      <c r="T4" t="s">
        <v>177</v>
      </c>
      <c r="U4">
        <v>1.3252902436235019</v>
      </c>
      <c r="V4">
        <v>0.94068503546816562</v>
      </c>
      <c r="W4">
        <v>74.099999999999994</v>
      </c>
      <c r="X4">
        <v>100</v>
      </c>
      <c r="Y4">
        <v>81.900000000000006</v>
      </c>
      <c r="Z4" t="s">
        <v>326</v>
      </c>
    </row>
    <row r="5" spans="1:26" x14ac:dyDescent="0.35">
      <c r="A5" t="s">
        <v>29</v>
      </c>
      <c r="B5">
        <v>2021</v>
      </c>
      <c r="C5">
        <v>12</v>
      </c>
      <c r="D5" t="s">
        <v>171</v>
      </c>
      <c r="E5">
        <v>1</v>
      </c>
      <c r="F5">
        <v>6.54</v>
      </c>
      <c r="G5">
        <v>5.0299625843763351E-2</v>
      </c>
      <c r="H5">
        <v>7.2477363049983978E-2</v>
      </c>
      <c r="I5">
        <v>6.4386337995529175E-2</v>
      </c>
      <c r="J5">
        <v>0.28780210018157959</v>
      </c>
      <c r="K5">
        <v>0.1845418065786362</v>
      </c>
      <c r="L5">
        <v>0.1150088384747505</v>
      </c>
      <c r="M5">
        <v>0.63436424732208252</v>
      </c>
      <c r="N5">
        <v>-0.59766030311584473</v>
      </c>
      <c r="O5">
        <v>-0.23212423920631409</v>
      </c>
      <c r="P5">
        <v>0.43068167567253107</v>
      </c>
      <c r="Q5">
        <v>0.39325058460235601</v>
      </c>
      <c r="R5">
        <v>2</v>
      </c>
      <c r="S5">
        <v>10</v>
      </c>
      <c r="T5" t="s">
        <v>178</v>
      </c>
      <c r="U5">
        <v>1.8880175939204771</v>
      </c>
      <c r="V5">
        <v>0.73535466095780921</v>
      </c>
      <c r="W5">
        <v>83.6</v>
      </c>
      <c r="X5">
        <v>100</v>
      </c>
      <c r="Y5">
        <v>88.5</v>
      </c>
      <c r="Z5" t="s">
        <v>326</v>
      </c>
    </row>
    <row r="6" spans="1:26" x14ac:dyDescent="0.35">
      <c r="A6" t="s">
        <v>30</v>
      </c>
      <c r="B6">
        <v>2021</v>
      </c>
      <c r="C6">
        <v>12</v>
      </c>
      <c r="D6" t="s">
        <v>171</v>
      </c>
      <c r="E6">
        <v>1</v>
      </c>
      <c r="F6">
        <v>1.84</v>
      </c>
      <c r="G6">
        <v>3.5322975367307663E-2</v>
      </c>
      <c r="H6">
        <v>6.8308897316455841E-2</v>
      </c>
      <c r="I6">
        <v>5.9282310307025909E-2</v>
      </c>
      <c r="J6">
        <v>0.32068336009979248</v>
      </c>
      <c r="K6">
        <v>0.21009103953838351</v>
      </c>
      <c r="L6">
        <v>0.1212257221341133</v>
      </c>
      <c r="M6">
        <v>0.68795967102050781</v>
      </c>
      <c r="N6">
        <v>-0.64879047870635986</v>
      </c>
      <c r="O6">
        <v>-0.26821860671043402</v>
      </c>
      <c r="P6">
        <v>0.46299931406974792</v>
      </c>
      <c r="Q6">
        <v>0.4455873966217041</v>
      </c>
      <c r="R6">
        <v>2</v>
      </c>
      <c r="S6">
        <v>10</v>
      </c>
      <c r="T6" t="s">
        <v>179</v>
      </c>
      <c r="U6">
        <v>2.8302202648863051</v>
      </c>
      <c r="V6">
        <v>0.23736087133893799</v>
      </c>
      <c r="W6">
        <v>95.4</v>
      </c>
      <c r="X6">
        <v>100</v>
      </c>
      <c r="Y6">
        <v>96.8</v>
      </c>
      <c r="Z6" t="s">
        <v>325</v>
      </c>
    </row>
    <row r="7" spans="1:26" x14ac:dyDescent="0.35">
      <c r="A7" t="s">
        <v>31</v>
      </c>
      <c r="B7">
        <v>2021</v>
      </c>
      <c r="C7">
        <v>12</v>
      </c>
      <c r="D7" t="s">
        <v>171</v>
      </c>
      <c r="E7">
        <v>1</v>
      </c>
      <c r="F7">
        <v>3.08</v>
      </c>
      <c r="G7">
        <v>3.529927134513855E-2</v>
      </c>
      <c r="H7">
        <v>6.4741626381874084E-2</v>
      </c>
      <c r="I7">
        <v>5.350794643163681E-2</v>
      </c>
      <c r="J7">
        <v>0.31581199169158941</v>
      </c>
      <c r="K7">
        <v>0.20158013701438901</v>
      </c>
      <c r="L7">
        <v>0.1131632328033447</v>
      </c>
      <c r="M7">
        <v>0.71023523807525635</v>
      </c>
      <c r="N7">
        <v>-0.65975034236907959</v>
      </c>
      <c r="O7">
        <v>-0.28091743588447571</v>
      </c>
      <c r="P7">
        <v>0.47791913151741028</v>
      </c>
      <c r="Q7">
        <v>0.45260214805603027</v>
      </c>
      <c r="R7">
        <v>2</v>
      </c>
      <c r="S7">
        <v>10</v>
      </c>
      <c r="T7" t="s">
        <v>180</v>
      </c>
      <c r="U7">
        <v>2.4081437458166022</v>
      </c>
      <c r="V7">
        <v>0.44606080943458271</v>
      </c>
      <c r="W7">
        <v>92.3</v>
      </c>
      <c r="X7">
        <v>100</v>
      </c>
      <c r="Y7">
        <v>94.6</v>
      </c>
      <c r="Z7" t="s">
        <v>325</v>
      </c>
    </row>
    <row r="8" spans="1:26" x14ac:dyDescent="0.35">
      <c r="A8" t="s">
        <v>32</v>
      </c>
      <c r="B8">
        <v>2021</v>
      </c>
      <c r="C8">
        <v>12</v>
      </c>
      <c r="D8" t="s">
        <v>172</v>
      </c>
      <c r="E8">
        <v>2</v>
      </c>
      <c r="F8">
        <v>0.02</v>
      </c>
      <c r="G8">
        <v>2.6121204718947411E-2</v>
      </c>
      <c r="H8">
        <v>5.1183175295591347E-2</v>
      </c>
      <c r="I8">
        <v>4.0755420923233032E-2</v>
      </c>
      <c r="J8">
        <v>0.28991213440895081</v>
      </c>
      <c r="K8">
        <v>0.16535833477973941</v>
      </c>
      <c r="L8">
        <v>8.8698863983154297E-2</v>
      </c>
      <c r="M8">
        <v>0.75349611043930054</v>
      </c>
      <c r="N8">
        <v>-0.69988930225372314</v>
      </c>
      <c r="O8">
        <v>-0.30174100399017328</v>
      </c>
      <c r="P8">
        <v>0.46535313129425049</v>
      </c>
      <c r="Q8">
        <v>0.44992133975028992</v>
      </c>
      <c r="R8">
        <v>2</v>
      </c>
      <c r="S8">
        <v>10</v>
      </c>
      <c r="T8" t="s">
        <v>181</v>
      </c>
      <c r="U8">
        <v>0.65310975921150638</v>
      </c>
      <c r="V8">
        <v>0.5</v>
      </c>
      <c r="W8">
        <v>100</v>
      </c>
      <c r="X8">
        <v>100</v>
      </c>
      <c r="Y8">
        <v>100</v>
      </c>
      <c r="Z8" t="s">
        <v>325</v>
      </c>
    </row>
    <row r="9" spans="1:26" x14ac:dyDescent="0.35">
      <c r="A9" t="s">
        <v>33</v>
      </c>
      <c r="B9">
        <v>2021</v>
      </c>
      <c r="C9">
        <v>12</v>
      </c>
      <c r="D9" t="s">
        <v>172</v>
      </c>
      <c r="E9">
        <v>2</v>
      </c>
      <c r="F9">
        <v>0.16</v>
      </c>
      <c r="G9">
        <v>3.4907732158899307E-2</v>
      </c>
      <c r="H9">
        <v>6.2862008810043335E-2</v>
      </c>
      <c r="I9">
        <v>5.1534634083509452E-2</v>
      </c>
      <c r="J9">
        <v>0.32033184170722961</v>
      </c>
      <c r="K9">
        <v>0.20064699649810791</v>
      </c>
      <c r="L9">
        <v>0.1144593581557274</v>
      </c>
      <c r="M9">
        <v>0.72283262014389038</v>
      </c>
      <c r="N9">
        <v>-0.67190492153167725</v>
      </c>
      <c r="O9">
        <v>-0.27351918816566467</v>
      </c>
      <c r="P9">
        <v>0.49131941795349121</v>
      </c>
      <c r="Q9">
        <v>0.46245136857032781</v>
      </c>
      <c r="R9">
        <v>2</v>
      </c>
      <c r="S9">
        <v>10</v>
      </c>
      <c r="T9" t="s">
        <v>182</v>
      </c>
      <c r="U9">
        <v>0.26462637552188811</v>
      </c>
      <c r="V9">
        <v>0.5</v>
      </c>
      <c r="W9">
        <v>99.6</v>
      </c>
      <c r="X9">
        <v>100</v>
      </c>
      <c r="Y9">
        <v>99.7</v>
      </c>
      <c r="Z9" t="s">
        <v>325</v>
      </c>
    </row>
    <row r="10" spans="1:26" x14ac:dyDescent="0.35">
      <c r="A10" t="s">
        <v>34</v>
      </c>
      <c r="B10">
        <v>2021</v>
      </c>
      <c r="C10">
        <v>12</v>
      </c>
      <c r="D10" t="s">
        <v>172</v>
      </c>
      <c r="E10">
        <v>2</v>
      </c>
      <c r="F10">
        <v>0.11</v>
      </c>
      <c r="G10">
        <v>3.1795613467693329E-2</v>
      </c>
      <c r="H10">
        <v>5.2837040275335312E-2</v>
      </c>
      <c r="I10">
        <v>4.413306713104248E-2</v>
      </c>
      <c r="J10">
        <v>0.26982021331787109</v>
      </c>
      <c r="K10">
        <v>0.17108388245105741</v>
      </c>
      <c r="L10">
        <v>9.460032731294632E-2</v>
      </c>
      <c r="M10">
        <v>0.71885585784912109</v>
      </c>
      <c r="N10">
        <v>-0.67248809337615967</v>
      </c>
      <c r="O10">
        <v>-0.28787392377853388</v>
      </c>
      <c r="P10">
        <v>0.43530240654945368</v>
      </c>
      <c r="Q10">
        <v>0.4159092903137207</v>
      </c>
      <c r="R10">
        <v>2</v>
      </c>
      <c r="S10">
        <v>10</v>
      </c>
      <c r="T10" t="s">
        <v>183</v>
      </c>
      <c r="U10">
        <v>0.21424378510188899</v>
      </c>
      <c r="V10">
        <v>0.5</v>
      </c>
      <c r="W10">
        <v>99.7</v>
      </c>
      <c r="X10">
        <v>100</v>
      </c>
      <c r="Y10">
        <v>99.8</v>
      </c>
      <c r="Z10" t="s">
        <v>325</v>
      </c>
    </row>
    <row r="11" spans="1:26" x14ac:dyDescent="0.35">
      <c r="A11" t="s">
        <v>35</v>
      </c>
      <c r="B11">
        <v>2021</v>
      </c>
      <c r="C11">
        <v>4</v>
      </c>
      <c r="D11" t="s">
        <v>173</v>
      </c>
      <c r="E11">
        <v>3</v>
      </c>
      <c r="F11">
        <v>19.53</v>
      </c>
      <c r="G11">
        <v>7.7828548848628998E-2</v>
      </c>
      <c r="H11">
        <v>8.7715879082679749E-2</v>
      </c>
      <c r="I11">
        <v>8.3523310720920563E-2</v>
      </c>
      <c r="J11">
        <v>0.21463845670223239</v>
      </c>
      <c r="K11">
        <v>0.1683986037969589</v>
      </c>
      <c r="L11">
        <v>0.121680811047554</v>
      </c>
      <c r="M11">
        <v>0.43974494934082031</v>
      </c>
      <c r="N11">
        <v>-0.4197809100151062</v>
      </c>
      <c r="O11">
        <v>-0.1610517352819443</v>
      </c>
      <c r="P11">
        <v>0.28954881429672241</v>
      </c>
      <c r="Q11">
        <v>0.24640707671642301</v>
      </c>
      <c r="R11">
        <v>2</v>
      </c>
      <c r="S11">
        <v>10</v>
      </c>
      <c r="T11" t="s">
        <v>184</v>
      </c>
      <c r="U11">
        <v>3.2145274951596821</v>
      </c>
      <c r="V11">
        <v>0.1113039908168781</v>
      </c>
      <c r="W11">
        <v>51.2</v>
      </c>
      <c r="X11">
        <v>100</v>
      </c>
      <c r="Y11">
        <v>65.8</v>
      </c>
      <c r="Z11" t="s">
        <v>327</v>
      </c>
    </row>
    <row r="12" spans="1:26" x14ac:dyDescent="0.35">
      <c r="A12" t="s">
        <v>36</v>
      </c>
      <c r="B12">
        <v>2021</v>
      </c>
      <c r="C12">
        <v>4</v>
      </c>
      <c r="D12" t="s">
        <v>173</v>
      </c>
      <c r="E12">
        <v>3</v>
      </c>
      <c r="F12">
        <v>9.2200000000000006</v>
      </c>
      <c r="G12">
        <v>3.2504916191101067E-2</v>
      </c>
      <c r="H12">
        <v>5.0680294632911682E-2</v>
      </c>
      <c r="I12">
        <v>4.755743220448494E-2</v>
      </c>
      <c r="J12">
        <v>0.22856761515140531</v>
      </c>
      <c r="K12">
        <v>0.17365503311157229</v>
      </c>
      <c r="L12">
        <v>0.105572335422039</v>
      </c>
      <c r="M12">
        <v>0.65553700923919678</v>
      </c>
      <c r="N12">
        <v>-0.63702291250228882</v>
      </c>
      <c r="O12">
        <v>-0.24382530152797699</v>
      </c>
      <c r="P12">
        <v>0.35628408193588262</v>
      </c>
      <c r="Q12">
        <v>0.34983444213867188</v>
      </c>
      <c r="R12">
        <v>2</v>
      </c>
      <c r="S12">
        <v>10</v>
      </c>
      <c r="T12" t="s">
        <v>185</v>
      </c>
      <c r="U12">
        <v>1.216085185585315</v>
      </c>
      <c r="V12">
        <v>0.96088622078468566</v>
      </c>
      <c r="W12">
        <v>77</v>
      </c>
      <c r="X12">
        <v>100</v>
      </c>
      <c r="Y12">
        <v>83.9</v>
      </c>
      <c r="Z12" t="s">
        <v>326</v>
      </c>
    </row>
    <row r="13" spans="1:26" x14ac:dyDescent="0.35">
      <c r="A13" t="s">
        <v>37</v>
      </c>
      <c r="B13">
        <v>2021</v>
      </c>
      <c r="C13">
        <v>4</v>
      </c>
      <c r="D13" t="s">
        <v>173</v>
      </c>
      <c r="E13">
        <v>3</v>
      </c>
      <c r="F13">
        <v>7.83</v>
      </c>
      <c r="G13">
        <v>3.4236717969179153E-2</v>
      </c>
      <c r="H13">
        <v>5.0292812287807458E-2</v>
      </c>
      <c r="I13">
        <v>4.5026592910289757E-2</v>
      </c>
      <c r="J13">
        <v>0.22081583738327029</v>
      </c>
      <c r="K13">
        <v>0.15957371890544891</v>
      </c>
      <c r="L13">
        <v>9.5527879893779755E-2</v>
      </c>
      <c r="M13">
        <v>0.66125345230102539</v>
      </c>
      <c r="N13">
        <v>-0.62898403406143188</v>
      </c>
      <c r="O13">
        <v>-0.2510601282119751</v>
      </c>
      <c r="P13">
        <v>0.35607931017875671</v>
      </c>
      <c r="Q13">
        <v>0.34430563449859619</v>
      </c>
      <c r="R13">
        <v>2</v>
      </c>
      <c r="S13">
        <v>10</v>
      </c>
      <c r="T13" t="s">
        <v>186</v>
      </c>
      <c r="U13">
        <v>1.295247407594742</v>
      </c>
      <c r="V13">
        <v>0.946832446977664</v>
      </c>
      <c r="W13">
        <v>80.400000000000006</v>
      </c>
      <c r="X13">
        <v>100</v>
      </c>
      <c r="Y13">
        <v>86.3</v>
      </c>
      <c r="Z13" t="s">
        <v>326</v>
      </c>
    </row>
    <row r="14" spans="1:26" x14ac:dyDescent="0.35">
      <c r="A14" t="s">
        <v>38</v>
      </c>
      <c r="B14">
        <v>2021</v>
      </c>
      <c r="C14">
        <v>4</v>
      </c>
      <c r="D14" t="s">
        <v>173</v>
      </c>
      <c r="E14">
        <v>3</v>
      </c>
      <c r="F14">
        <v>3</v>
      </c>
      <c r="G14">
        <v>0.11821878701448441</v>
      </c>
      <c r="H14">
        <v>0.12994870543479919</v>
      </c>
      <c r="I14">
        <v>0.1250125914812088</v>
      </c>
      <c r="J14">
        <v>0.27053630352020258</v>
      </c>
      <c r="K14">
        <v>0.2275230139493942</v>
      </c>
      <c r="L14">
        <v>0.17776864767074579</v>
      </c>
      <c r="M14">
        <v>0.36790323257446289</v>
      </c>
      <c r="N14">
        <v>-0.35104334354400629</v>
      </c>
      <c r="O14">
        <v>-0.1227618753910065</v>
      </c>
      <c r="P14">
        <v>0.32082769274711609</v>
      </c>
      <c r="Q14">
        <v>0.24374499917030329</v>
      </c>
      <c r="R14">
        <v>2</v>
      </c>
      <c r="S14">
        <v>10</v>
      </c>
      <c r="T14" t="s">
        <v>187</v>
      </c>
      <c r="U14">
        <v>2.6053014768352001</v>
      </c>
      <c r="V14">
        <v>0.34093778683266562</v>
      </c>
      <c r="W14">
        <v>92.5</v>
      </c>
      <c r="X14">
        <v>100</v>
      </c>
      <c r="Y14">
        <v>94.8</v>
      </c>
      <c r="Z14" t="s">
        <v>325</v>
      </c>
    </row>
    <row r="15" spans="1:26" x14ac:dyDescent="0.35">
      <c r="A15" t="s">
        <v>39</v>
      </c>
      <c r="B15">
        <v>2021</v>
      </c>
      <c r="C15">
        <v>4</v>
      </c>
      <c r="D15" t="s">
        <v>173</v>
      </c>
      <c r="E15">
        <v>3</v>
      </c>
      <c r="F15">
        <v>0.13</v>
      </c>
      <c r="G15">
        <v>2.3158615455031391E-2</v>
      </c>
      <c r="H15">
        <v>4.4199381023645401E-2</v>
      </c>
      <c r="I15">
        <v>4.2474549263715737E-2</v>
      </c>
      <c r="J15">
        <v>0.21646365523338321</v>
      </c>
      <c r="K15">
        <v>0.15819117426872251</v>
      </c>
      <c r="L15">
        <v>9.3047939240932465E-2</v>
      </c>
      <c r="M15">
        <v>0.67193293571472168</v>
      </c>
      <c r="N15">
        <v>-0.66086959838867188</v>
      </c>
      <c r="O15">
        <v>-0.25928777456283569</v>
      </c>
      <c r="P15">
        <v>0.33520781993865972</v>
      </c>
      <c r="Q15">
        <v>0.34387999773025513</v>
      </c>
      <c r="R15">
        <v>2</v>
      </c>
      <c r="S15">
        <v>10</v>
      </c>
      <c r="T15" t="s">
        <v>188</v>
      </c>
      <c r="U15">
        <v>2.1838214532580991</v>
      </c>
      <c r="V15">
        <v>0.57375360309812251</v>
      </c>
      <c r="W15">
        <v>99.7</v>
      </c>
      <c r="X15">
        <v>100</v>
      </c>
      <c r="Y15">
        <v>99.8</v>
      </c>
      <c r="Z15" t="s">
        <v>325</v>
      </c>
    </row>
    <row r="16" spans="1:26" x14ac:dyDescent="0.35">
      <c r="A16" t="s">
        <v>40</v>
      </c>
      <c r="B16">
        <v>2021</v>
      </c>
      <c r="C16">
        <v>4</v>
      </c>
      <c r="D16" t="s">
        <v>173</v>
      </c>
      <c r="E16">
        <v>3</v>
      </c>
      <c r="F16">
        <v>0.28000000000000003</v>
      </c>
      <c r="G16">
        <v>3.102179616689682E-2</v>
      </c>
      <c r="H16">
        <v>4.8402510583400733E-2</v>
      </c>
      <c r="I16">
        <v>4.6269476413726807E-2</v>
      </c>
      <c r="J16">
        <v>0.22697637975215909</v>
      </c>
      <c r="K16">
        <v>0.16767872869968409</v>
      </c>
      <c r="L16">
        <v>0.1024398505687714</v>
      </c>
      <c r="M16">
        <v>0.66133445501327515</v>
      </c>
      <c r="N16">
        <v>-0.64846611022949219</v>
      </c>
      <c r="O16">
        <v>-0.24151939153671259</v>
      </c>
      <c r="P16">
        <v>0.35518255829811102</v>
      </c>
      <c r="Q16">
        <v>0.35054874420166021</v>
      </c>
      <c r="R16">
        <v>2</v>
      </c>
      <c r="S16">
        <v>10</v>
      </c>
      <c r="T16" t="s">
        <v>189</v>
      </c>
      <c r="U16">
        <v>1.849678400055184</v>
      </c>
      <c r="V16">
        <v>0.75440789137952657</v>
      </c>
      <c r="W16">
        <v>99.3</v>
      </c>
      <c r="X16">
        <v>100</v>
      </c>
      <c r="Y16">
        <v>99.5</v>
      </c>
      <c r="Z16" t="s">
        <v>325</v>
      </c>
    </row>
    <row r="17" spans="1:26" x14ac:dyDescent="0.35">
      <c r="A17" t="s">
        <v>41</v>
      </c>
      <c r="B17">
        <v>2021</v>
      </c>
      <c r="C17">
        <v>5</v>
      </c>
      <c r="D17" t="s">
        <v>173</v>
      </c>
      <c r="E17">
        <v>3</v>
      </c>
      <c r="F17">
        <v>11.91</v>
      </c>
      <c r="G17">
        <v>3.6689683794975281E-2</v>
      </c>
      <c r="H17">
        <v>5.3559344261884689E-2</v>
      </c>
      <c r="I17">
        <v>4.8600751906633377E-2</v>
      </c>
      <c r="J17">
        <v>0.22044417262077329</v>
      </c>
      <c r="K17">
        <v>0.14955061674118039</v>
      </c>
      <c r="L17">
        <v>8.9375622570514679E-2</v>
      </c>
      <c r="M17">
        <v>0.63871645927429199</v>
      </c>
      <c r="N17">
        <v>-0.60906088352203369</v>
      </c>
      <c r="O17">
        <v>-0.25185593962669373</v>
      </c>
      <c r="P17">
        <v>0.34733355045318598</v>
      </c>
      <c r="Q17">
        <v>0.33517566323280329</v>
      </c>
      <c r="R17">
        <v>2</v>
      </c>
      <c r="S17">
        <v>10</v>
      </c>
      <c r="T17" t="s">
        <v>190</v>
      </c>
      <c r="U17">
        <v>1.2031395555486299</v>
      </c>
      <c r="V17">
        <v>0.9629025211252471</v>
      </c>
      <c r="W17">
        <v>70.2</v>
      </c>
      <c r="X17">
        <v>100</v>
      </c>
      <c r="Y17">
        <v>79.099999999999994</v>
      </c>
      <c r="Z17" t="s">
        <v>328</v>
      </c>
    </row>
    <row r="18" spans="1:26" x14ac:dyDescent="0.35">
      <c r="A18" t="s">
        <v>42</v>
      </c>
      <c r="B18">
        <v>2021</v>
      </c>
      <c r="C18">
        <v>5</v>
      </c>
      <c r="D18" t="s">
        <v>173</v>
      </c>
      <c r="E18">
        <v>3</v>
      </c>
      <c r="F18">
        <v>7.39</v>
      </c>
      <c r="G18">
        <v>2.459409087896347E-2</v>
      </c>
      <c r="H18">
        <v>4.2661413550376892E-2</v>
      </c>
      <c r="I18">
        <v>3.5963192582130432E-2</v>
      </c>
      <c r="J18">
        <v>0.20885442197322851</v>
      </c>
      <c r="K18">
        <v>0.14082266390323639</v>
      </c>
      <c r="L18">
        <v>7.5073458254337311E-2</v>
      </c>
      <c r="M18">
        <v>0.70620423555374146</v>
      </c>
      <c r="N18">
        <v>-0.66076558828353882</v>
      </c>
      <c r="O18">
        <v>-0.30454093217849731</v>
      </c>
      <c r="P18">
        <v>0.34852102398872381</v>
      </c>
      <c r="Q18">
        <v>0.34818840026855469</v>
      </c>
      <c r="R18">
        <v>2</v>
      </c>
      <c r="S18">
        <v>10</v>
      </c>
      <c r="T18" t="s">
        <v>191</v>
      </c>
      <c r="U18">
        <v>2.2863651029590542</v>
      </c>
      <c r="V18">
        <v>0.51498754533616053</v>
      </c>
      <c r="W18">
        <v>81.5</v>
      </c>
      <c r="X18">
        <v>100</v>
      </c>
      <c r="Y18">
        <v>87</v>
      </c>
      <c r="Z18" t="s">
        <v>326</v>
      </c>
    </row>
    <row r="19" spans="1:26" x14ac:dyDescent="0.35">
      <c r="A19" t="s">
        <v>43</v>
      </c>
      <c r="B19">
        <v>2021</v>
      </c>
      <c r="C19">
        <v>5</v>
      </c>
      <c r="D19" t="s">
        <v>173</v>
      </c>
      <c r="E19">
        <v>3</v>
      </c>
      <c r="F19">
        <v>0</v>
      </c>
      <c r="G19">
        <v>2.0393542945384979E-2</v>
      </c>
      <c r="H19">
        <v>4.1474495083093643E-2</v>
      </c>
      <c r="I19">
        <v>3.7515450268983841E-2</v>
      </c>
      <c r="J19">
        <v>0.21910133957862851</v>
      </c>
      <c r="K19">
        <v>0.14355406165122989</v>
      </c>
      <c r="L19">
        <v>8.005397766828537E-2</v>
      </c>
      <c r="M19">
        <v>0.7076149582862854</v>
      </c>
      <c r="N19">
        <v>-0.68167048692703247</v>
      </c>
      <c r="O19">
        <v>-0.28397941589355469</v>
      </c>
      <c r="P19">
        <v>0.35157203674316412</v>
      </c>
      <c r="Q19">
        <v>0.35999575257301331</v>
      </c>
      <c r="R19">
        <v>2</v>
      </c>
      <c r="S19">
        <v>10</v>
      </c>
      <c r="T19" t="s">
        <v>192</v>
      </c>
      <c r="U19">
        <v>1.5736130312659291</v>
      </c>
      <c r="V19">
        <v>0.87111525656848121</v>
      </c>
      <c r="W19">
        <v>100</v>
      </c>
      <c r="X19">
        <v>100</v>
      </c>
      <c r="Y19">
        <v>100</v>
      </c>
      <c r="Z19" t="s">
        <v>325</v>
      </c>
    </row>
    <row r="20" spans="1:26" x14ac:dyDescent="0.35">
      <c r="A20" t="s">
        <v>44</v>
      </c>
      <c r="B20">
        <v>2021</v>
      </c>
      <c r="C20">
        <v>6</v>
      </c>
      <c r="D20" t="s">
        <v>173</v>
      </c>
      <c r="E20">
        <v>3</v>
      </c>
      <c r="F20">
        <v>15.47</v>
      </c>
      <c r="G20">
        <v>0.49016052484512329</v>
      </c>
      <c r="H20">
        <v>0.47268655896186829</v>
      </c>
      <c r="I20">
        <v>0.46116325259208679</v>
      </c>
      <c r="J20">
        <v>0.51020658016204834</v>
      </c>
      <c r="K20">
        <v>0.44977614283561712</v>
      </c>
      <c r="L20">
        <v>0.39762946963310242</v>
      </c>
      <c r="M20">
        <v>5.0488829612731927E-2</v>
      </c>
      <c r="N20">
        <v>-3.8173042237758643E-2</v>
      </c>
      <c r="O20">
        <v>-6.1536852270364761E-2</v>
      </c>
      <c r="P20">
        <v>0.20401330292224881</v>
      </c>
      <c r="Q20">
        <v>4.9997620284557343E-2</v>
      </c>
      <c r="R20">
        <v>2</v>
      </c>
      <c r="S20">
        <v>10</v>
      </c>
      <c r="T20" t="s">
        <v>193</v>
      </c>
      <c r="U20">
        <v>6.66527496317938</v>
      </c>
      <c r="V20">
        <v>6.0852190286730945E-8</v>
      </c>
      <c r="W20">
        <v>61.3</v>
      </c>
      <c r="X20">
        <v>0</v>
      </c>
      <c r="Y20">
        <v>42.9</v>
      </c>
      <c r="Z20" t="s">
        <v>327</v>
      </c>
    </row>
    <row r="21" spans="1:26" x14ac:dyDescent="0.35">
      <c r="A21" t="s">
        <v>45</v>
      </c>
      <c r="B21">
        <v>2021</v>
      </c>
      <c r="C21">
        <v>6</v>
      </c>
      <c r="D21" t="s">
        <v>173</v>
      </c>
      <c r="E21">
        <v>3</v>
      </c>
      <c r="F21">
        <v>0</v>
      </c>
      <c r="G21">
        <v>1.976319961249828E-2</v>
      </c>
      <c r="H21">
        <v>4.3407868593931198E-2</v>
      </c>
      <c r="I21">
        <v>3.5001739859580987E-2</v>
      </c>
      <c r="J21">
        <v>0.22481124103069311</v>
      </c>
      <c r="K21">
        <v>0.13521575927734381</v>
      </c>
      <c r="L21">
        <v>7.2696752846240997E-2</v>
      </c>
      <c r="M21">
        <v>0.73056203126907349</v>
      </c>
      <c r="N21">
        <v>-0.67632526159286499</v>
      </c>
      <c r="O21">
        <v>-0.30069863796234131</v>
      </c>
      <c r="P21">
        <v>0.36882060766220093</v>
      </c>
      <c r="Q21">
        <v>0.37471625208854681</v>
      </c>
      <c r="R21">
        <v>2</v>
      </c>
      <c r="S21">
        <v>10</v>
      </c>
      <c r="T21" t="s">
        <v>194</v>
      </c>
      <c r="U21">
        <v>2.9769731572427052</v>
      </c>
      <c r="V21">
        <v>0.18146756735022371</v>
      </c>
      <c r="W21">
        <v>100</v>
      </c>
      <c r="X21">
        <v>100</v>
      </c>
      <c r="Y21">
        <v>100</v>
      </c>
      <c r="Z21" t="s">
        <v>325</v>
      </c>
    </row>
    <row r="22" spans="1:26" x14ac:dyDescent="0.35">
      <c r="A22" t="s">
        <v>46</v>
      </c>
      <c r="B22">
        <v>2021</v>
      </c>
      <c r="C22">
        <v>7</v>
      </c>
      <c r="D22" t="s">
        <v>174</v>
      </c>
      <c r="E22">
        <v>4</v>
      </c>
      <c r="F22">
        <v>0.04</v>
      </c>
      <c r="G22">
        <v>0.2117024511098862</v>
      </c>
      <c r="H22">
        <v>0.21808457374572751</v>
      </c>
      <c r="I22">
        <v>0.21436150372028351</v>
      </c>
      <c r="J22">
        <v>0.32812666893005371</v>
      </c>
      <c r="K22">
        <v>0.29414212703704828</v>
      </c>
      <c r="L22">
        <v>0.26302409172058111</v>
      </c>
      <c r="M22">
        <v>0.209709957242012</v>
      </c>
      <c r="N22">
        <v>-0.20146435499191279</v>
      </c>
      <c r="O22">
        <v>-5.5850543081760413E-2</v>
      </c>
      <c r="P22">
        <v>0.27706319093704218</v>
      </c>
      <c r="Q22">
        <v>0.16369275748729711</v>
      </c>
      <c r="R22">
        <v>2</v>
      </c>
      <c r="S22">
        <v>10</v>
      </c>
      <c r="T22" t="s">
        <v>195</v>
      </c>
      <c r="U22">
        <v>2.417971476870187</v>
      </c>
      <c r="V22">
        <v>0.44059337584988278</v>
      </c>
      <c r="W22">
        <v>99.9</v>
      </c>
      <c r="X22">
        <v>100</v>
      </c>
      <c r="Y22">
        <v>99.9</v>
      </c>
      <c r="Z22" t="s">
        <v>325</v>
      </c>
    </row>
    <row r="23" spans="1:26" x14ac:dyDescent="0.35">
      <c r="A23" t="s">
        <v>47</v>
      </c>
      <c r="B23">
        <v>2021</v>
      </c>
      <c r="C23">
        <v>7</v>
      </c>
      <c r="D23" t="s">
        <v>174</v>
      </c>
      <c r="E23">
        <v>4</v>
      </c>
      <c r="F23">
        <v>0.66</v>
      </c>
      <c r="G23">
        <v>2.4876832962036129E-2</v>
      </c>
      <c r="H23">
        <v>4.4136594980955117E-2</v>
      </c>
      <c r="I23">
        <v>3.8168508559465408E-2</v>
      </c>
      <c r="J23">
        <v>0.22759100794792181</v>
      </c>
      <c r="K23">
        <v>0.14632567763328549</v>
      </c>
      <c r="L23">
        <v>8.6524859070777893E-2</v>
      </c>
      <c r="M23">
        <v>0.71275901794433594</v>
      </c>
      <c r="N23">
        <v>-0.67514091730117798</v>
      </c>
      <c r="O23">
        <v>-0.25682061910629272</v>
      </c>
      <c r="P23">
        <v>0.37287133932113647</v>
      </c>
      <c r="Q23">
        <v>0.37104827165603638</v>
      </c>
      <c r="R23">
        <v>2</v>
      </c>
      <c r="S23">
        <v>10</v>
      </c>
      <c r="T23" t="s">
        <v>196</v>
      </c>
      <c r="U23">
        <v>1.5467526803220171</v>
      </c>
      <c r="V23">
        <v>0.88030537740513359</v>
      </c>
      <c r="W23">
        <v>98.4</v>
      </c>
      <c r="X23">
        <v>100</v>
      </c>
      <c r="Y23">
        <v>98.9</v>
      </c>
      <c r="Z23" t="s">
        <v>325</v>
      </c>
    </row>
    <row r="24" spans="1:26" x14ac:dyDescent="0.35">
      <c r="A24" t="s">
        <v>48</v>
      </c>
      <c r="B24">
        <v>2021</v>
      </c>
      <c r="C24">
        <v>7</v>
      </c>
      <c r="D24" t="s">
        <v>174</v>
      </c>
      <c r="E24">
        <v>4</v>
      </c>
      <c r="F24">
        <v>4.96</v>
      </c>
      <c r="G24">
        <v>2.568451315164566E-2</v>
      </c>
      <c r="H24">
        <v>4.4035501778125763E-2</v>
      </c>
      <c r="I24">
        <v>3.8623791188001633E-2</v>
      </c>
      <c r="J24">
        <v>0.21421079337596891</v>
      </c>
      <c r="K24">
        <v>0.14437530934810641</v>
      </c>
      <c r="L24">
        <v>8.1841573119163513E-2</v>
      </c>
      <c r="M24">
        <v>0.69447380304336548</v>
      </c>
      <c r="N24">
        <v>-0.65896505117416382</v>
      </c>
      <c r="O24">
        <v>-0.27643266320228582</v>
      </c>
      <c r="P24">
        <v>0.35024380683898931</v>
      </c>
      <c r="Q24">
        <v>0.34985175728797913</v>
      </c>
      <c r="R24">
        <v>2</v>
      </c>
      <c r="S24">
        <v>10</v>
      </c>
      <c r="T24" t="s">
        <v>197</v>
      </c>
      <c r="U24">
        <v>1.3288441349128639</v>
      </c>
      <c r="V24">
        <v>0.9399270522370069</v>
      </c>
      <c r="W24">
        <v>87.6</v>
      </c>
      <c r="X24">
        <v>100</v>
      </c>
      <c r="Y24">
        <v>91.3</v>
      </c>
      <c r="Z24" t="s">
        <v>325</v>
      </c>
    </row>
    <row r="25" spans="1:26" x14ac:dyDescent="0.35">
      <c r="A25" t="s">
        <v>49</v>
      </c>
      <c r="B25">
        <v>2021</v>
      </c>
      <c r="C25">
        <v>7</v>
      </c>
      <c r="D25" t="s">
        <v>174</v>
      </c>
      <c r="E25">
        <v>4</v>
      </c>
      <c r="F25">
        <v>5.17</v>
      </c>
      <c r="G25">
        <v>2.455118298530579E-2</v>
      </c>
      <c r="H25">
        <v>4.746580496430397E-2</v>
      </c>
      <c r="I25">
        <v>4.2408045381307602E-2</v>
      </c>
      <c r="J25">
        <v>0.2251919507980347</v>
      </c>
      <c r="K25">
        <v>0.1545488238334656</v>
      </c>
      <c r="L25">
        <v>8.860345184803009E-2</v>
      </c>
      <c r="M25">
        <v>0.68304896354675293</v>
      </c>
      <c r="N25">
        <v>-0.65182870626449585</v>
      </c>
      <c r="O25">
        <v>-0.27121016383171082</v>
      </c>
      <c r="P25">
        <v>0.35272675752639771</v>
      </c>
      <c r="Q25">
        <v>0.35718584060668951</v>
      </c>
      <c r="R25">
        <v>2</v>
      </c>
      <c r="S25">
        <v>10</v>
      </c>
      <c r="T25" t="s">
        <v>198</v>
      </c>
      <c r="U25">
        <v>1.2411052519636649</v>
      </c>
      <c r="V25">
        <v>0.95676986338918579</v>
      </c>
      <c r="W25">
        <v>87.1</v>
      </c>
      <c r="X25">
        <v>100</v>
      </c>
      <c r="Y25">
        <v>91</v>
      </c>
      <c r="Z25" t="s">
        <v>325</v>
      </c>
    </row>
    <row r="26" spans="1:26" x14ac:dyDescent="0.35">
      <c r="A26" t="s">
        <v>50</v>
      </c>
      <c r="B26">
        <v>2021</v>
      </c>
      <c r="C26">
        <v>7</v>
      </c>
      <c r="D26" t="s">
        <v>174</v>
      </c>
      <c r="E26">
        <v>4</v>
      </c>
      <c r="F26">
        <v>5.78</v>
      </c>
      <c r="G26">
        <v>7.309173047542572E-2</v>
      </c>
      <c r="H26">
        <v>8.4918759763240814E-2</v>
      </c>
      <c r="I26">
        <v>8.0874726176261902E-2</v>
      </c>
      <c r="J26">
        <v>0.23014543950557709</v>
      </c>
      <c r="K26">
        <v>0.16374912858009341</v>
      </c>
      <c r="L26">
        <v>0.114365428686142</v>
      </c>
      <c r="M26">
        <v>0.47993901371955872</v>
      </c>
      <c r="N26">
        <v>-0.46094316244125372</v>
      </c>
      <c r="O26">
        <v>-0.1775660365819931</v>
      </c>
      <c r="P26">
        <v>0.31971806287765497</v>
      </c>
      <c r="Q26">
        <v>0.27607953548431402</v>
      </c>
      <c r="R26">
        <v>2</v>
      </c>
      <c r="S26">
        <v>10</v>
      </c>
      <c r="T26" t="s">
        <v>199</v>
      </c>
      <c r="U26">
        <v>2.149803538585032</v>
      </c>
      <c r="V26">
        <v>0.59316955324499498</v>
      </c>
      <c r="W26">
        <v>85.6</v>
      </c>
      <c r="X26">
        <v>100</v>
      </c>
      <c r="Y26">
        <v>89.9</v>
      </c>
      <c r="Z26" t="s">
        <v>326</v>
      </c>
    </row>
    <row r="27" spans="1:26" x14ac:dyDescent="0.35">
      <c r="A27" t="s">
        <v>51</v>
      </c>
      <c r="B27">
        <v>2021</v>
      </c>
      <c r="C27">
        <v>7</v>
      </c>
      <c r="D27" t="s">
        <v>174</v>
      </c>
      <c r="E27">
        <v>4</v>
      </c>
      <c r="F27">
        <v>3.91</v>
      </c>
      <c r="G27">
        <v>2.5559209287166599E-2</v>
      </c>
      <c r="H27">
        <v>4.4513743370771408E-2</v>
      </c>
      <c r="I27">
        <v>4.2046017944812768E-2</v>
      </c>
      <c r="J27">
        <v>0.21362102031707761</v>
      </c>
      <c r="K27">
        <v>0.1519549489021301</v>
      </c>
      <c r="L27">
        <v>8.8542744517326355E-2</v>
      </c>
      <c r="M27">
        <v>0.67108774185180664</v>
      </c>
      <c r="N27">
        <v>-0.65511238574981689</v>
      </c>
      <c r="O27">
        <v>-0.26367074251174932</v>
      </c>
      <c r="P27">
        <v>0.33663198351860052</v>
      </c>
      <c r="Q27">
        <v>0.34057661890983582</v>
      </c>
      <c r="R27">
        <v>2</v>
      </c>
      <c r="S27">
        <v>10</v>
      </c>
      <c r="T27" t="s">
        <v>200</v>
      </c>
      <c r="U27">
        <v>1.557325584239035</v>
      </c>
      <c r="V27">
        <v>0.87673637166477347</v>
      </c>
      <c r="W27">
        <v>90.2</v>
      </c>
      <c r="X27">
        <v>100</v>
      </c>
      <c r="Y27">
        <v>93.1</v>
      </c>
      <c r="Z27" t="s">
        <v>325</v>
      </c>
    </row>
    <row r="28" spans="1:26" x14ac:dyDescent="0.35">
      <c r="A28" t="s">
        <v>52</v>
      </c>
      <c r="B28">
        <v>2021</v>
      </c>
      <c r="C28">
        <v>8</v>
      </c>
      <c r="D28" t="s">
        <v>174</v>
      </c>
      <c r="E28">
        <v>4</v>
      </c>
      <c r="F28">
        <v>14.79</v>
      </c>
      <c r="G28">
        <v>4.0438286960124969E-2</v>
      </c>
      <c r="H28">
        <v>5.5632129311561578E-2</v>
      </c>
      <c r="I28">
        <v>5.1215678453445428E-2</v>
      </c>
      <c r="J28">
        <v>0.21778407692909241</v>
      </c>
      <c r="K28">
        <v>0.17322511970996859</v>
      </c>
      <c r="L28">
        <v>0.1047678515315056</v>
      </c>
      <c r="M28">
        <v>0.61921393871307373</v>
      </c>
      <c r="N28">
        <v>-0.5930590033531189</v>
      </c>
      <c r="O28">
        <v>-0.24625539779663089</v>
      </c>
      <c r="P28">
        <v>0.34082832932472229</v>
      </c>
      <c r="Q28">
        <v>0.32490593194961548</v>
      </c>
      <c r="R28">
        <v>2</v>
      </c>
      <c r="S28">
        <v>10</v>
      </c>
      <c r="T28" t="s">
        <v>201</v>
      </c>
      <c r="U28">
        <v>1.528106646954861</v>
      </c>
      <c r="V28">
        <v>0.88644586551471893</v>
      </c>
      <c r="W28">
        <v>63</v>
      </c>
      <c r="X28">
        <v>100</v>
      </c>
      <c r="Y28">
        <v>74.099999999999994</v>
      </c>
      <c r="Z28" t="s">
        <v>328</v>
      </c>
    </row>
    <row r="29" spans="1:26" x14ac:dyDescent="0.35">
      <c r="A29" t="s">
        <v>53</v>
      </c>
      <c r="B29">
        <v>2021</v>
      </c>
      <c r="C29">
        <v>8</v>
      </c>
      <c r="D29" t="s">
        <v>174</v>
      </c>
      <c r="E29">
        <v>4</v>
      </c>
      <c r="F29">
        <v>19.93</v>
      </c>
      <c r="G29">
        <v>4.488295316696167E-2</v>
      </c>
      <c r="H29">
        <v>6.1977896839380257E-2</v>
      </c>
      <c r="I29">
        <v>6.0161024332046509E-2</v>
      </c>
      <c r="J29">
        <v>0.20211844146251681</v>
      </c>
      <c r="K29">
        <v>0.16408109664916989</v>
      </c>
      <c r="L29">
        <v>0.10397012531757351</v>
      </c>
      <c r="M29">
        <v>0.54124492406845093</v>
      </c>
      <c r="N29">
        <v>-0.53064173460006714</v>
      </c>
      <c r="O29">
        <v>-0.2242518216371536</v>
      </c>
      <c r="P29">
        <v>0.2893635630607605</v>
      </c>
      <c r="Q29">
        <v>0.27934128046035772</v>
      </c>
      <c r="R29">
        <v>2</v>
      </c>
      <c r="S29">
        <v>10</v>
      </c>
      <c r="T29" t="s">
        <v>202</v>
      </c>
      <c r="U29">
        <v>2.775099603848473</v>
      </c>
      <c r="V29">
        <v>0.26082330556296252</v>
      </c>
      <c r="W29">
        <v>50.2</v>
      </c>
      <c r="X29">
        <v>100</v>
      </c>
      <c r="Y29">
        <v>65.099999999999994</v>
      </c>
      <c r="Z29" t="s">
        <v>327</v>
      </c>
    </row>
    <row r="30" spans="1:26" x14ac:dyDescent="0.35">
      <c r="A30" t="s">
        <v>54</v>
      </c>
      <c r="B30">
        <v>2021</v>
      </c>
      <c r="C30">
        <v>8</v>
      </c>
      <c r="D30" t="s">
        <v>174</v>
      </c>
      <c r="E30">
        <v>4</v>
      </c>
      <c r="F30">
        <v>0</v>
      </c>
      <c r="G30">
        <v>2.048130705952644E-2</v>
      </c>
      <c r="H30">
        <v>4.6723015606403351E-2</v>
      </c>
      <c r="I30">
        <v>4.6891491860151291E-2</v>
      </c>
      <c r="J30">
        <v>0.22263781726360321</v>
      </c>
      <c r="K30">
        <v>0.17259933054447171</v>
      </c>
      <c r="L30">
        <v>0.10142871737480159</v>
      </c>
      <c r="M30">
        <v>0.65204900503158569</v>
      </c>
      <c r="N30">
        <v>-0.65308231115341187</v>
      </c>
      <c r="O30">
        <v>-0.25972017645835882</v>
      </c>
      <c r="P30">
        <v>0.32536530494689941</v>
      </c>
      <c r="Q30">
        <v>0.34257236123085022</v>
      </c>
      <c r="R30">
        <v>2</v>
      </c>
      <c r="S30">
        <v>10</v>
      </c>
      <c r="T30" t="s">
        <v>203</v>
      </c>
      <c r="U30">
        <v>3.1279492737793371</v>
      </c>
      <c r="V30">
        <v>0.1340449411652356</v>
      </c>
      <c r="W30">
        <v>100</v>
      </c>
      <c r="X30">
        <v>100</v>
      </c>
      <c r="Y30">
        <v>100</v>
      </c>
      <c r="Z30" t="s">
        <v>325</v>
      </c>
    </row>
    <row r="31" spans="1:26" x14ac:dyDescent="0.35">
      <c r="A31" t="s">
        <v>55</v>
      </c>
      <c r="B31">
        <v>2021</v>
      </c>
      <c r="C31">
        <v>9</v>
      </c>
      <c r="D31" t="s">
        <v>174</v>
      </c>
      <c r="E31">
        <v>4</v>
      </c>
      <c r="F31">
        <v>0.03</v>
      </c>
      <c r="G31">
        <v>2.5305477902293209E-2</v>
      </c>
      <c r="H31">
        <v>4.3556418269872672E-2</v>
      </c>
      <c r="I31">
        <v>3.8876287639141083E-2</v>
      </c>
      <c r="J31">
        <v>0.20647428929805761</v>
      </c>
      <c r="K31">
        <v>0.14613641798496249</v>
      </c>
      <c r="L31">
        <v>8.3521649241447449E-2</v>
      </c>
      <c r="M31">
        <v>0.68309605121612549</v>
      </c>
      <c r="N31">
        <v>-0.65159147977828979</v>
      </c>
      <c r="O31">
        <v>-0.27264344692230219</v>
      </c>
      <c r="P31">
        <v>0.33521187305450439</v>
      </c>
      <c r="Q31">
        <v>0.33728694915771479</v>
      </c>
      <c r="R31">
        <v>2</v>
      </c>
      <c r="S31">
        <v>10</v>
      </c>
      <c r="T31" t="s">
        <v>204</v>
      </c>
      <c r="U31">
        <v>1.583032161914633</v>
      </c>
      <c r="V31">
        <v>0.86779659504323503</v>
      </c>
      <c r="W31">
        <v>99.9</v>
      </c>
      <c r="X31">
        <v>100</v>
      </c>
      <c r="Y31">
        <v>99.9</v>
      </c>
      <c r="Z31" t="s">
        <v>325</v>
      </c>
    </row>
    <row r="32" spans="1:26" x14ac:dyDescent="0.35">
      <c r="A32" t="s">
        <v>56</v>
      </c>
      <c r="B32">
        <v>2022</v>
      </c>
      <c r="C32">
        <v>9</v>
      </c>
      <c r="D32" t="s">
        <v>171</v>
      </c>
      <c r="E32">
        <v>1</v>
      </c>
      <c r="F32">
        <v>0</v>
      </c>
      <c r="G32">
        <v>3.1021984294056889E-2</v>
      </c>
      <c r="H32">
        <v>5.040944367647171E-2</v>
      </c>
      <c r="I32">
        <v>4.5243740081787109E-2</v>
      </c>
      <c r="J32">
        <v>0.22247800230979919</v>
      </c>
      <c r="K32">
        <v>0.1609377712011337</v>
      </c>
      <c r="L32">
        <v>9.6165947616100311E-2</v>
      </c>
      <c r="M32">
        <v>0.66200923919677734</v>
      </c>
      <c r="N32">
        <v>-0.63054776191711426</v>
      </c>
      <c r="O32">
        <v>-0.25192877650260931</v>
      </c>
      <c r="P32">
        <v>0.35129964351654053</v>
      </c>
      <c r="Q32">
        <v>0.3462861180305481</v>
      </c>
      <c r="R32">
        <v>2</v>
      </c>
      <c r="S32">
        <v>10</v>
      </c>
      <c r="T32" t="s">
        <v>205</v>
      </c>
      <c r="U32">
        <v>2.0964129580705859</v>
      </c>
      <c r="V32">
        <v>0.62339125342708601</v>
      </c>
      <c r="W32">
        <v>100</v>
      </c>
      <c r="X32">
        <v>100</v>
      </c>
      <c r="Y32">
        <v>100</v>
      </c>
      <c r="Z32" t="s">
        <v>325</v>
      </c>
    </row>
    <row r="33" spans="1:26" x14ac:dyDescent="0.35">
      <c r="A33" t="s">
        <v>57</v>
      </c>
      <c r="B33">
        <v>2022</v>
      </c>
      <c r="C33">
        <v>10</v>
      </c>
      <c r="D33" t="s">
        <v>171</v>
      </c>
      <c r="E33">
        <v>1</v>
      </c>
      <c r="F33">
        <v>15.69</v>
      </c>
      <c r="G33">
        <v>8.8529787957668304E-2</v>
      </c>
      <c r="H33">
        <v>0.1044866591691971</v>
      </c>
      <c r="I33">
        <v>9.7665324807167053E-2</v>
      </c>
      <c r="J33">
        <v>0.27402392029762268</v>
      </c>
      <c r="K33">
        <v>0.20528306066989899</v>
      </c>
      <c r="L33">
        <v>0.1379012614488602</v>
      </c>
      <c r="M33">
        <v>0.47447860240936279</v>
      </c>
      <c r="N33">
        <v>-0.4479062557220459</v>
      </c>
      <c r="O33">
        <v>-0.19634288549423221</v>
      </c>
      <c r="P33">
        <v>0.36862942576408392</v>
      </c>
      <c r="Q33">
        <v>0.30347728729248052</v>
      </c>
      <c r="R33">
        <v>2</v>
      </c>
      <c r="S33">
        <v>10</v>
      </c>
      <c r="T33" t="s">
        <v>206</v>
      </c>
      <c r="U33">
        <v>2.7692901191119419</v>
      </c>
      <c r="V33">
        <v>0.26337233847922609</v>
      </c>
      <c r="W33">
        <v>60.8</v>
      </c>
      <c r="X33">
        <v>100</v>
      </c>
      <c r="Y33">
        <v>72.599999999999994</v>
      </c>
      <c r="Z33" t="s">
        <v>328</v>
      </c>
    </row>
    <row r="34" spans="1:26" x14ac:dyDescent="0.35">
      <c r="A34" t="s">
        <v>58</v>
      </c>
      <c r="B34">
        <v>2022</v>
      </c>
      <c r="C34">
        <v>11</v>
      </c>
      <c r="D34" t="s">
        <v>171</v>
      </c>
      <c r="E34">
        <v>1</v>
      </c>
      <c r="F34">
        <v>3.25</v>
      </c>
      <c r="G34">
        <v>3.5210549831390381E-2</v>
      </c>
      <c r="H34">
        <v>5.5732429027557373E-2</v>
      </c>
      <c r="I34">
        <v>5.1641855388879783E-2</v>
      </c>
      <c r="J34">
        <v>0.24046523869037631</v>
      </c>
      <c r="K34">
        <v>0.17121636867523191</v>
      </c>
      <c r="L34">
        <v>0.1052649617195129</v>
      </c>
      <c r="M34">
        <v>0.64641833305358887</v>
      </c>
      <c r="N34">
        <v>-0.62368088960647583</v>
      </c>
      <c r="O34">
        <v>-0.23853836953639981</v>
      </c>
      <c r="P34">
        <v>0.36700728535652161</v>
      </c>
      <c r="Q34">
        <v>0.35757169127464289</v>
      </c>
      <c r="R34">
        <v>2</v>
      </c>
      <c r="S34">
        <v>10</v>
      </c>
      <c r="T34" t="s">
        <v>207</v>
      </c>
      <c r="U34">
        <v>2.0650680542112352</v>
      </c>
      <c r="V34">
        <v>0.6409298659822551</v>
      </c>
      <c r="W34">
        <v>91.9</v>
      </c>
      <c r="X34">
        <v>100</v>
      </c>
      <c r="Y34">
        <v>94.3</v>
      </c>
      <c r="Z34" t="s">
        <v>325</v>
      </c>
    </row>
    <row r="35" spans="1:26" x14ac:dyDescent="0.35">
      <c r="A35" t="s">
        <v>59</v>
      </c>
      <c r="B35">
        <v>2022</v>
      </c>
      <c r="C35">
        <v>11</v>
      </c>
      <c r="D35" t="s">
        <v>171</v>
      </c>
      <c r="E35">
        <v>1</v>
      </c>
      <c r="F35">
        <v>4.01</v>
      </c>
      <c r="G35">
        <v>4.3040920048952103E-2</v>
      </c>
      <c r="H35">
        <v>6.9156356155872345E-2</v>
      </c>
      <c r="I35">
        <v>6.8468116223812103E-2</v>
      </c>
      <c r="J35">
        <v>0.2784181535243988</v>
      </c>
      <c r="K35">
        <v>0.2052490562200546</v>
      </c>
      <c r="L35">
        <v>0.1308091729879379</v>
      </c>
      <c r="M35">
        <v>0.60524165630340576</v>
      </c>
      <c r="N35">
        <v>-0.60206317901611328</v>
      </c>
      <c r="O35">
        <v>-0.22150889039039609</v>
      </c>
      <c r="P35">
        <v>0.38412424921989441</v>
      </c>
      <c r="Q35">
        <v>0.3718622624874115</v>
      </c>
      <c r="R35">
        <v>2</v>
      </c>
      <c r="S35">
        <v>10</v>
      </c>
      <c r="T35" t="s">
        <v>208</v>
      </c>
      <c r="U35">
        <v>1.793529349412829</v>
      </c>
      <c r="V35">
        <v>0.78119223170642482</v>
      </c>
      <c r="W35">
        <v>90</v>
      </c>
      <c r="X35">
        <v>100</v>
      </c>
      <c r="Y35">
        <v>93</v>
      </c>
      <c r="Z35" t="s">
        <v>325</v>
      </c>
    </row>
    <row r="36" spans="1:26" x14ac:dyDescent="0.35">
      <c r="A36" t="s">
        <v>60</v>
      </c>
      <c r="B36">
        <v>2022</v>
      </c>
      <c r="C36">
        <v>11</v>
      </c>
      <c r="D36" t="s">
        <v>171</v>
      </c>
      <c r="E36">
        <v>1</v>
      </c>
      <c r="F36">
        <v>14.14</v>
      </c>
      <c r="G36">
        <v>5.7671573013067252E-2</v>
      </c>
      <c r="H36">
        <v>8.3553403615951538E-2</v>
      </c>
      <c r="I36">
        <v>8.0703631043434143E-2</v>
      </c>
      <c r="J36">
        <v>0.28987926244735718</v>
      </c>
      <c r="K36">
        <v>0.21892184019088751</v>
      </c>
      <c r="L36">
        <v>0.13827994465827939</v>
      </c>
      <c r="M36">
        <v>0.56445032358169556</v>
      </c>
      <c r="N36">
        <v>-0.55251157283782959</v>
      </c>
      <c r="O36">
        <v>-0.22576005756855011</v>
      </c>
      <c r="P36">
        <v>0.38979801535606379</v>
      </c>
      <c r="Q36">
        <v>0.36040616035461431</v>
      </c>
      <c r="R36">
        <v>2</v>
      </c>
      <c r="S36">
        <v>10</v>
      </c>
      <c r="T36" t="s">
        <v>209</v>
      </c>
      <c r="U36">
        <v>1.882834411647508</v>
      </c>
      <c r="V36">
        <v>0.73796460551821408</v>
      </c>
      <c r="W36">
        <v>64.599999999999994</v>
      </c>
      <c r="X36">
        <v>100</v>
      </c>
      <c r="Y36">
        <v>75.2</v>
      </c>
      <c r="Z36" t="s">
        <v>328</v>
      </c>
    </row>
    <row r="37" spans="1:26" x14ac:dyDescent="0.35">
      <c r="A37" t="s">
        <v>61</v>
      </c>
      <c r="B37">
        <v>2022</v>
      </c>
      <c r="C37">
        <v>11</v>
      </c>
      <c r="D37" t="s">
        <v>171</v>
      </c>
      <c r="E37">
        <v>1</v>
      </c>
      <c r="F37">
        <v>0</v>
      </c>
      <c r="G37">
        <v>3.5858098417520523E-2</v>
      </c>
      <c r="H37">
        <v>6.0024071484804153E-2</v>
      </c>
      <c r="I37">
        <v>5.9908676892518997E-2</v>
      </c>
      <c r="J37">
        <v>0.2456138879060745</v>
      </c>
      <c r="K37">
        <v>0.17836843430995941</v>
      </c>
      <c r="L37">
        <v>0.11082591116428379</v>
      </c>
      <c r="M37">
        <v>0.60782814025878906</v>
      </c>
      <c r="N37">
        <v>-0.60722112655639648</v>
      </c>
      <c r="O37">
        <v>-0.2335540950298309</v>
      </c>
      <c r="P37">
        <v>0.34746843576431269</v>
      </c>
      <c r="Q37">
        <v>0.34581008553504938</v>
      </c>
      <c r="R37">
        <v>2</v>
      </c>
      <c r="S37">
        <v>10</v>
      </c>
      <c r="T37" t="s">
        <v>210</v>
      </c>
      <c r="U37">
        <v>2.8732552368463158</v>
      </c>
      <c r="V37">
        <v>0.2199694221918819</v>
      </c>
      <c r="W37">
        <v>100</v>
      </c>
      <c r="X37">
        <v>100</v>
      </c>
      <c r="Y37">
        <v>100</v>
      </c>
      <c r="Z37" t="s">
        <v>325</v>
      </c>
    </row>
    <row r="38" spans="1:26" x14ac:dyDescent="0.35">
      <c r="A38" t="s">
        <v>62</v>
      </c>
      <c r="B38">
        <v>2022</v>
      </c>
      <c r="C38">
        <v>11</v>
      </c>
      <c r="D38" t="s">
        <v>171</v>
      </c>
      <c r="E38">
        <v>1</v>
      </c>
      <c r="F38">
        <v>16.420000000000002</v>
      </c>
      <c r="G38">
        <v>4.5129388570785522E-2</v>
      </c>
      <c r="H38">
        <v>7.2595804929733276E-2</v>
      </c>
      <c r="I38">
        <v>7.2865709662437439E-2</v>
      </c>
      <c r="J38">
        <v>0.28711485862731928</v>
      </c>
      <c r="K38">
        <v>0.2132566571235657</v>
      </c>
      <c r="L38">
        <v>0.13724929094314581</v>
      </c>
      <c r="M38">
        <v>0.59516865015029907</v>
      </c>
      <c r="N38">
        <v>-0.59636557102203369</v>
      </c>
      <c r="O38">
        <v>-0.21685042977333069</v>
      </c>
      <c r="P38">
        <v>0.38649725914001459</v>
      </c>
      <c r="Q38">
        <v>0.37369883060455322</v>
      </c>
      <c r="R38">
        <v>2</v>
      </c>
      <c r="S38">
        <v>10</v>
      </c>
      <c r="T38" t="s">
        <v>211</v>
      </c>
      <c r="U38">
        <v>2.4557159135875648</v>
      </c>
      <c r="V38">
        <v>0.41977761182737611</v>
      </c>
      <c r="W38">
        <v>59</v>
      </c>
      <c r="X38">
        <v>100</v>
      </c>
      <c r="Y38">
        <v>71.3</v>
      </c>
      <c r="Z38" t="s">
        <v>328</v>
      </c>
    </row>
    <row r="39" spans="1:26" x14ac:dyDescent="0.35">
      <c r="A39" t="s">
        <v>63</v>
      </c>
      <c r="B39">
        <v>2022</v>
      </c>
      <c r="C39">
        <v>11</v>
      </c>
      <c r="D39" t="s">
        <v>171</v>
      </c>
      <c r="E39">
        <v>1</v>
      </c>
      <c r="F39">
        <v>1.44</v>
      </c>
      <c r="G39">
        <v>4.0746953338384628E-2</v>
      </c>
      <c r="H39">
        <v>7.0719487965106964E-2</v>
      </c>
      <c r="I39">
        <v>7.0819444954395294E-2</v>
      </c>
      <c r="J39">
        <v>0.29119563102722168</v>
      </c>
      <c r="K39">
        <v>0.21600785851478579</v>
      </c>
      <c r="L39">
        <v>0.13503800332546231</v>
      </c>
      <c r="M39">
        <v>0.6087486743927002</v>
      </c>
      <c r="N39">
        <v>-0.60919296741485596</v>
      </c>
      <c r="O39">
        <v>-0.23065322637557981</v>
      </c>
      <c r="P39">
        <v>0.39059662818908691</v>
      </c>
      <c r="Q39">
        <v>0.3834785521030426</v>
      </c>
      <c r="R39">
        <v>2</v>
      </c>
      <c r="S39">
        <v>10</v>
      </c>
      <c r="T39" t="s">
        <v>212</v>
      </c>
      <c r="U39">
        <v>2.5190349941581691</v>
      </c>
      <c r="V39">
        <v>0.38561596946767551</v>
      </c>
      <c r="W39">
        <v>96.4</v>
      </c>
      <c r="X39">
        <v>100</v>
      </c>
      <c r="Y39">
        <v>97.5</v>
      </c>
      <c r="Z39" t="s">
        <v>325</v>
      </c>
    </row>
    <row r="40" spans="1:26" x14ac:dyDescent="0.35">
      <c r="A40" t="s">
        <v>64</v>
      </c>
      <c r="B40">
        <v>2022</v>
      </c>
      <c r="C40">
        <v>12</v>
      </c>
      <c r="D40" t="s">
        <v>171</v>
      </c>
      <c r="E40">
        <v>1</v>
      </c>
      <c r="F40">
        <v>0</v>
      </c>
      <c r="G40">
        <v>3.4398626536130912E-2</v>
      </c>
      <c r="H40">
        <v>5.9418518096208572E-2</v>
      </c>
      <c r="I40">
        <v>5.6151784956455231E-2</v>
      </c>
      <c r="J40">
        <v>0.25273174047470093</v>
      </c>
      <c r="K40">
        <v>0.17480529844760889</v>
      </c>
      <c r="L40">
        <v>0.10314482450485229</v>
      </c>
      <c r="M40">
        <v>0.63642102479934692</v>
      </c>
      <c r="N40">
        <v>-0.61929541826248169</v>
      </c>
      <c r="O40">
        <v>-0.25781774520874018</v>
      </c>
      <c r="P40">
        <v>0.36905258893966669</v>
      </c>
      <c r="Q40">
        <v>0.36453944444656372</v>
      </c>
      <c r="R40">
        <v>2</v>
      </c>
      <c r="S40">
        <v>10</v>
      </c>
      <c r="T40" t="s">
        <v>213</v>
      </c>
      <c r="U40">
        <v>1.584092396906043</v>
      </c>
      <c r="V40">
        <v>0.86741993082509172</v>
      </c>
      <c r="W40">
        <v>100</v>
      </c>
      <c r="X40">
        <v>100</v>
      </c>
      <c r="Y40">
        <v>100</v>
      </c>
      <c r="Z40" t="s">
        <v>325</v>
      </c>
    </row>
    <row r="41" spans="1:26" x14ac:dyDescent="0.35">
      <c r="A41" t="s">
        <v>65</v>
      </c>
      <c r="B41">
        <v>2022</v>
      </c>
      <c r="C41">
        <v>12</v>
      </c>
      <c r="D41" t="s">
        <v>171</v>
      </c>
      <c r="E41">
        <v>1</v>
      </c>
      <c r="F41">
        <v>2.84</v>
      </c>
      <c r="G41">
        <v>3.8471270352602012E-2</v>
      </c>
      <c r="H41">
        <v>6.6321708261966705E-2</v>
      </c>
      <c r="I41">
        <v>5.827418714761734E-2</v>
      </c>
      <c r="J41">
        <v>0.2896990180015564</v>
      </c>
      <c r="K41">
        <v>0.20165340602397919</v>
      </c>
      <c r="L41">
        <v>0.1193930730223656</v>
      </c>
      <c r="M41">
        <v>0.66506510972976685</v>
      </c>
      <c r="N41">
        <v>-0.62742787599563599</v>
      </c>
      <c r="O41">
        <v>-0.25622561573982239</v>
      </c>
      <c r="P41">
        <v>0.42830765247344971</v>
      </c>
      <c r="Q41">
        <v>0.40937292575836182</v>
      </c>
      <c r="R41">
        <v>2</v>
      </c>
      <c r="S41">
        <v>10</v>
      </c>
      <c r="T41" t="s">
        <v>214</v>
      </c>
      <c r="U41">
        <v>1.447131678981628</v>
      </c>
      <c r="V41">
        <v>0.91083520713864319</v>
      </c>
      <c r="W41">
        <v>92.9</v>
      </c>
      <c r="X41">
        <v>100</v>
      </c>
      <c r="Y41">
        <v>95</v>
      </c>
      <c r="Z41" t="s">
        <v>325</v>
      </c>
    </row>
    <row r="42" spans="1:26" x14ac:dyDescent="0.35">
      <c r="A42" t="s">
        <v>66</v>
      </c>
      <c r="B42">
        <v>2022</v>
      </c>
      <c r="C42">
        <v>12</v>
      </c>
      <c r="D42" t="s">
        <v>171</v>
      </c>
      <c r="E42">
        <v>1</v>
      </c>
      <c r="F42">
        <v>0.37</v>
      </c>
      <c r="G42">
        <v>3.389040008187294E-2</v>
      </c>
      <c r="H42">
        <v>5.6410171091556549E-2</v>
      </c>
      <c r="I42">
        <v>4.844636470079422E-2</v>
      </c>
      <c r="J42">
        <v>0.27047795057296747</v>
      </c>
      <c r="K42">
        <v>0.1696940362453461</v>
      </c>
      <c r="L42">
        <v>9.6424750983715057E-2</v>
      </c>
      <c r="M42">
        <v>0.69618898630142212</v>
      </c>
      <c r="N42">
        <v>-0.65486562252044678</v>
      </c>
      <c r="O42">
        <v>-0.2753254771232605</v>
      </c>
      <c r="P42">
        <v>0.42470407485961909</v>
      </c>
      <c r="Q42">
        <v>0.4066888689994812</v>
      </c>
      <c r="R42">
        <v>2</v>
      </c>
      <c r="S42">
        <v>10</v>
      </c>
      <c r="T42" t="s">
        <v>215</v>
      </c>
      <c r="U42">
        <v>2.545724768584714</v>
      </c>
      <c r="V42">
        <v>0.37154492528418182</v>
      </c>
      <c r="W42">
        <v>99.1</v>
      </c>
      <c r="X42">
        <v>100</v>
      </c>
      <c r="Y42">
        <v>99.4</v>
      </c>
      <c r="Z42" t="s">
        <v>325</v>
      </c>
    </row>
    <row r="43" spans="1:26" x14ac:dyDescent="0.35">
      <c r="A43" t="s">
        <v>67</v>
      </c>
      <c r="B43">
        <v>2022</v>
      </c>
      <c r="C43">
        <v>12</v>
      </c>
      <c r="D43" t="s">
        <v>171</v>
      </c>
      <c r="E43">
        <v>1</v>
      </c>
      <c r="F43">
        <v>7.18</v>
      </c>
      <c r="G43">
        <v>3.5511747002601617E-2</v>
      </c>
      <c r="H43">
        <v>6.765766441822052E-2</v>
      </c>
      <c r="I43">
        <v>5.9159450232982642E-2</v>
      </c>
      <c r="J43">
        <v>0.31686076521873469</v>
      </c>
      <c r="K43">
        <v>0.20748358964920041</v>
      </c>
      <c r="L43">
        <v>0.1209251508116722</v>
      </c>
      <c r="M43">
        <v>0.68533897399902344</v>
      </c>
      <c r="N43">
        <v>-0.64809143543243408</v>
      </c>
      <c r="O43">
        <v>-0.26356923580169678</v>
      </c>
      <c r="P43">
        <v>0.4583868682384491</v>
      </c>
      <c r="Q43">
        <v>0.44125920534133911</v>
      </c>
      <c r="R43">
        <v>2</v>
      </c>
      <c r="S43">
        <v>10</v>
      </c>
      <c r="T43" t="s">
        <v>216</v>
      </c>
      <c r="U43">
        <v>2.4592584401787798</v>
      </c>
      <c r="V43">
        <v>0.41783996752520181</v>
      </c>
      <c r="W43">
        <v>82</v>
      </c>
      <c r="X43">
        <v>100</v>
      </c>
      <c r="Y43">
        <v>87.4</v>
      </c>
      <c r="Z43" t="s">
        <v>326</v>
      </c>
    </row>
    <row r="44" spans="1:26" x14ac:dyDescent="0.35">
      <c r="A44" t="s">
        <v>68</v>
      </c>
      <c r="B44">
        <v>2022</v>
      </c>
      <c r="C44">
        <v>12</v>
      </c>
      <c r="D44" t="s">
        <v>172</v>
      </c>
      <c r="E44">
        <v>2</v>
      </c>
      <c r="F44">
        <v>0</v>
      </c>
      <c r="G44">
        <v>3.2717742025852203E-2</v>
      </c>
      <c r="H44">
        <v>5.6204847991466522E-2</v>
      </c>
      <c r="I44">
        <v>4.5702602714300163E-2</v>
      </c>
      <c r="J44">
        <v>0.28878474235534668</v>
      </c>
      <c r="K44">
        <v>0.17120885848999021</v>
      </c>
      <c r="L44">
        <v>9.5933228731155396E-2</v>
      </c>
      <c r="M44">
        <v>0.72673040628433228</v>
      </c>
      <c r="N44">
        <v>-0.67416495084762573</v>
      </c>
      <c r="O44">
        <v>-0.28178125619888311</v>
      </c>
      <c r="P44">
        <v>0.46121540665626531</v>
      </c>
      <c r="Q44">
        <v>0.43694275617599487</v>
      </c>
      <c r="R44">
        <v>2</v>
      </c>
      <c r="S44">
        <v>10</v>
      </c>
      <c r="T44" t="s">
        <v>217</v>
      </c>
      <c r="U44">
        <v>0.31400839740359221</v>
      </c>
      <c r="V44">
        <v>0.5</v>
      </c>
      <c r="W44">
        <v>100</v>
      </c>
      <c r="X44">
        <v>100</v>
      </c>
      <c r="Y44">
        <v>100</v>
      </c>
      <c r="Z44" t="s">
        <v>325</v>
      </c>
    </row>
    <row r="45" spans="1:26" x14ac:dyDescent="0.35">
      <c r="A45" t="s">
        <v>69</v>
      </c>
      <c r="B45">
        <v>2022</v>
      </c>
      <c r="C45">
        <v>12</v>
      </c>
      <c r="D45" t="s">
        <v>172</v>
      </c>
      <c r="E45">
        <v>2</v>
      </c>
      <c r="F45">
        <v>7.62</v>
      </c>
      <c r="G45">
        <v>7.8978732228279114E-2</v>
      </c>
      <c r="H45">
        <v>0.10109641402959819</v>
      </c>
      <c r="I45">
        <v>8.6607702076435089E-2</v>
      </c>
      <c r="J45">
        <v>0.34295758605003362</v>
      </c>
      <c r="K45">
        <v>0.2206029146909714</v>
      </c>
      <c r="L45">
        <v>0.13838571310043329</v>
      </c>
      <c r="M45">
        <v>0.59676587581634521</v>
      </c>
      <c r="N45">
        <v>-0.5446661114692688</v>
      </c>
      <c r="O45">
        <v>-0.22902451455593109</v>
      </c>
      <c r="P45">
        <v>0.50452119112014771</v>
      </c>
      <c r="Q45">
        <v>0.41366091370582581</v>
      </c>
      <c r="R45">
        <v>2</v>
      </c>
      <c r="S45">
        <v>10</v>
      </c>
      <c r="T45" t="s">
        <v>218</v>
      </c>
      <c r="U45">
        <v>1.3325445575740591</v>
      </c>
      <c r="V45">
        <v>0.5</v>
      </c>
      <c r="W45">
        <v>81</v>
      </c>
      <c r="X45">
        <v>100</v>
      </c>
      <c r="Y45">
        <v>86.7</v>
      </c>
      <c r="Z45" t="s">
        <v>326</v>
      </c>
    </row>
    <row r="46" spans="1:26" x14ac:dyDescent="0.35">
      <c r="A46" t="s">
        <v>70</v>
      </c>
      <c r="B46">
        <v>2022</v>
      </c>
      <c r="C46">
        <v>3</v>
      </c>
      <c r="D46" t="s">
        <v>173</v>
      </c>
      <c r="E46">
        <v>3</v>
      </c>
      <c r="F46">
        <v>9.0299999999999994</v>
      </c>
      <c r="G46">
        <v>0.13094186782836911</v>
      </c>
      <c r="H46">
        <v>0.1371497064828873</v>
      </c>
      <c r="I46">
        <v>0.1309090256690979</v>
      </c>
      <c r="J46">
        <v>0.27644491195678711</v>
      </c>
      <c r="K46">
        <v>0.2144586592912674</v>
      </c>
      <c r="L46">
        <v>0.16136601567268369</v>
      </c>
      <c r="M46">
        <v>0.35727134346961981</v>
      </c>
      <c r="N46">
        <v>-0.33679163455963129</v>
      </c>
      <c r="O46">
        <v>-0.14126971364021301</v>
      </c>
      <c r="P46">
        <v>0.33694010972976679</v>
      </c>
      <c r="Q46">
        <v>0.24059391021728521</v>
      </c>
      <c r="R46">
        <v>2</v>
      </c>
      <c r="S46">
        <v>10</v>
      </c>
      <c r="T46" t="s">
        <v>219</v>
      </c>
      <c r="U46">
        <v>2.4677867018169861</v>
      </c>
      <c r="V46">
        <v>0.41318735616271551</v>
      </c>
      <c r="W46">
        <v>77.400000000000006</v>
      </c>
      <c r="X46">
        <v>100</v>
      </c>
      <c r="Y46">
        <v>84.2</v>
      </c>
      <c r="Z46" t="s">
        <v>326</v>
      </c>
    </row>
    <row r="47" spans="1:26" x14ac:dyDescent="0.35">
      <c r="A47" t="s">
        <v>71</v>
      </c>
      <c r="B47">
        <v>2022</v>
      </c>
      <c r="C47">
        <v>4</v>
      </c>
      <c r="D47" t="s">
        <v>173</v>
      </c>
      <c r="E47">
        <v>3</v>
      </c>
      <c r="F47">
        <v>9.4700000000000006</v>
      </c>
      <c r="G47">
        <v>5.5383056402206421E-2</v>
      </c>
      <c r="H47">
        <v>6.7710839211940765E-2</v>
      </c>
      <c r="I47">
        <v>6.3546672463417053E-2</v>
      </c>
      <c r="J47">
        <v>0.22692358493804929</v>
      </c>
      <c r="K47">
        <v>0.17016905546188349</v>
      </c>
      <c r="L47">
        <v>0.1150029376149178</v>
      </c>
      <c r="M47">
        <v>0.56245660781860352</v>
      </c>
      <c r="N47">
        <v>-0.54037386178970337</v>
      </c>
      <c r="O47">
        <v>-0.19344858825206759</v>
      </c>
      <c r="P47">
        <v>0.3424142599105835</v>
      </c>
      <c r="Q47">
        <v>0.31002479791641241</v>
      </c>
      <c r="R47">
        <v>2</v>
      </c>
      <c r="S47">
        <v>10</v>
      </c>
      <c r="T47" t="s">
        <v>220</v>
      </c>
      <c r="U47">
        <v>1.839148930355772</v>
      </c>
      <c r="V47">
        <v>0.75953532235264209</v>
      </c>
      <c r="W47">
        <v>76.3</v>
      </c>
      <c r="X47">
        <v>100</v>
      </c>
      <c r="Y47">
        <v>83.4</v>
      </c>
      <c r="Z47" t="s">
        <v>326</v>
      </c>
    </row>
    <row r="48" spans="1:26" x14ac:dyDescent="0.35">
      <c r="A48" t="s">
        <v>72</v>
      </c>
      <c r="B48">
        <v>2022</v>
      </c>
      <c r="C48">
        <v>4</v>
      </c>
      <c r="D48" t="s">
        <v>173</v>
      </c>
      <c r="E48">
        <v>3</v>
      </c>
      <c r="F48">
        <v>16.63</v>
      </c>
      <c r="G48">
        <v>0.182206004858017</v>
      </c>
      <c r="H48">
        <v>0.1966870576143265</v>
      </c>
      <c r="I48">
        <v>0.19889359176158911</v>
      </c>
      <c r="J48">
        <v>0.33793437480926508</v>
      </c>
      <c r="K48">
        <v>0.29663604497909551</v>
      </c>
      <c r="L48">
        <v>0.24596452713012701</v>
      </c>
      <c r="M48">
        <v>0.25900435447692871</v>
      </c>
      <c r="N48">
        <v>-0.26420062780380249</v>
      </c>
      <c r="O48">
        <v>-9.338640421628952E-2</v>
      </c>
      <c r="P48">
        <v>0.29843461513519293</v>
      </c>
      <c r="Q48">
        <v>0.20115309953689581</v>
      </c>
      <c r="R48">
        <v>2</v>
      </c>
      <c r="S48">
        <v>10</v>
      </c>
      <c r="T48" t="s">
        <v>221</v>
      </c>
      <c r="U48">
        <v>2.6859352825123959</v>
      </c>
      <c r="V48">
        <v>0.30148745174787078</v>
      </c>
      <c r="W48">
        <v>58.4</v>
      </c>
      <c r="X48">
        <v>100</v>
      </c>
      <c r="Y48">
        <v>70.900000000000006</v>
      </c>
      <c r="Z48" t="s">
        <v>328</v>
      </c>
    </row>
    <row r="49" spans="1:26" x14ac:dyDescent="0.35">
      <c r="A49" t="s">
        <v>73</v>
      </c>
      <c r="B49">
        <v>2022</v>
      </c>
      <c r="C49">
        <v>4</v>
      </c>
      <c r="D49" t="s">
        <v>173</v>
      </c>
      <c r="E49">
        <v>3</v>
      </c>
      <c r="F49">
        <v>13.67</v>
      </c>
      <c r="G49">
        <v>3.0289014801383018E-2</v>
      </c>
      <c r="H49">
        <v>4.6853963285684593E-2</v>
      </c>
      <c r="I49">
        <v>4.0641464293003082E-2</v>
      </c>
      <c r="J49">
        <v>0.23356468975543981</v>
      </c>
      <c r="K49">
        <v>0.15014718472957611</v>
      </c>
      <c r="L49">
        <v>8.6390025913715363E-2</v>
      </c>
      <c r="M49">
        <v>0.70356994867324829</v>
      </c>
      <c r="N49">
        <v>-0.66582846641540527</v>
      </c>
      <c r="O49">
        <v>-0.26954388618469238</v>
      </c>
      <c r="P49">
        <v>0.38577055931091309</v>
      </c>
      <c r="Q49">
        <v>0.37378263473510742</v>
      </c>
      <c r="R49">
        <v>2</v>
      </c>
      <c r="S49">
        <v>10</v>
      </c>
      <c r="T49" t="s">
        <v>222</v>
      </c>
      <c r="U49">
        <v>1.3364222428971539</v>
      </c>
      <c r="V49">
        <v>0.93828875829781855</v>
      </c>
      <c r="W49">
        <v>65.8</v>
      </c>
      <c r="X49">
        <v>100</v>
      </c>
      <c r="Y49">
        <v>76.099999999999994</v>
      </c>
      <c r="Z49" t="s">
        <v>328</v>
      </c>
    </row>
    <row r="50" spans="1:26" x14ac:dyDescent="0.35">
      <c r="A50" t="s">
        <v>74</v>
      </c>
      <c r="B50">
        <v>2022</v>
      </c>
      <c r="C50">
        <v>4</v>
      </c>
      <c r="D50" t="s">
        <v>173</v>
      </c>
      <c r="E50">
        <v>3</v>
      </c>
      <c r="F50">
        <v>0.31</v>
      </c>
      <c r="G50">
        <v>2.6664609089493752E-2</v>
      </c>
      <c r="H50">
        <v>4.35071662068367E-2</v>
      </c>
      <c r="I50">
        <v>3.8322310894727707E-2</v>
      </c>
      <c r="J50">
        <v>0.2143435329198837</v>
      </c>
      <c r="K50">
        <v>0.15743336081504819</v>
      </c>
      <c r="L50">
        <v>8.9567996561527252E-2</v>
      </c>
      <c r="M50">
        <v>0.69665616750717163</v>
      </c>
      <c r="N50">
        <v>-0.66253983974456787</v>
      </c>
      <c r="O50">
        <v>-0.27475705742835999</v>
      </c>
      <c r="P50">
        <v>0.35365712642669678</v>
      </c>
      <c r="Q50">
        <v>0.35079550743103027</v>
      </c>
      <c r="R50">
        <v>2</v>
      </c>
      <c r="S50">
        <v>10</v>
      </c>
      <c r="T50" t="s">
        <v>223</v>
      </c>
      <c r="U50">
        <v>1.672145519066994</v>
      </c>
      <c r="V50">
        <v>0.83397233278779492</v>
      </c>
      <c r="W50">
        <v>99.2</v>
      </c>
      <c r="X50">
        <v>100</v>
      </c>
      <c r="Y50">
        <v>99.4</v>
      </c>
      <c r="Z50" t="s">
        <v>325</v>
      </c>
    </row>
    <row r="51" spans="1:26" x14ac:dyDescent="0.35">
      <c r="A51" t="s">
        <v>75</v>
      </c>
      <c r="B51">
        <v>2022</v>
      </c>
      <c r="C51">
        <v>5</v>
      </c>
      <c r="D51" t="s">
        <v>173</v>
      </c>
      <c r="E51">
        <v>3</v>
      </c>
      <c r="F51">
        <v>13.8</v>
      </c>
      <c r="G51">
        <v>0.19789837300777441</v>
      </c>
      <c r="H51">
        <v>0.1977510750293732</v>
      </c>
      <c r="I51">
        <v>0.19052496552467349</v>
      </c>
      <c r="J51">
        <v>0.32548287510871893</v>
      </c>
      <c r="K51">
        <v>0.26271429657936102</v>
      </c>
      <c r="L51">
        <v>0.22256810963153839</v>
      </c>
      <c r="M51">
        <v>0.26154235005378718</v>
      </c>
      <c r="N51">
        <v>-0.244119867682457</v>
      </c>
      <c r="O51">
        <v>-8.2727469503879547E-2</v>
      </c>
      <c r="P51">
        <v>0.34274333715438843</v>
      </c>
      <c r="Q51">
        <v>0.1992473304271698</v>
      </c>
      <c r="R51">
        <v>2</v>
      </c>
      <c r="S51">
        <v>10</v>
      </c>
      <c r="T51" t="s">
        <v>224</v>
      </c>
      <c r="U51">
        <v>3.0877504686364028</v>
      </c>
      <c r="V51">
        <v>0.14568828941799411</v>
      </c>
      <c r="W51">
        <v>65.5</v>
      </c>
      <c r="X51">
        <v>100</v>
      </c>
      <c r="Y51">
        <v>75.8</v>
      </c>
      <c r="Z51" t="s">
        <v>328</v>
      </c>
    </row>
    <row r="52" spans="1:26" x14ac:dyDescent="0.35">
      <c r="A52" t="s">
        <v>76</v>
      </c>
      <c r="B52">
        <v>2022</v>
      </c>
      <c r="C52">
        <v>5</v>
      </c>
      <c r="D52" t="s">
        <v>173</v>
      </c>
      <c r="E52">
        <v>3</v>
      </c>
      <c r="F52">
        <v>3.02</v>
      </c>
      <c r="G52">
        <v>0.25426992774009699</v>
      </c>
      <c r="H52">
        <v>0.26053580641746521</v>
      </c>
      <c r="I52">
        <v>0.25953322649002081</v>
      </c>
      <c r="J52">
        <v>0.37101045250892639</v>
      </c>
      <c r="K52">
        <v>0.33433559536933899</v>
      </c>
      <c r="L52">
        <v>0.30199974775314331</v>
      </c>
      <c r="M52">
        <v>0.17679539322853091</v>
      </c>
      <c r="N52">
        <v>-0.1749272495508194</v>
      </c>
      <c r="O52">
        <v>-5.0815731287002557E-2</v>
      </c>
      <c r="P52">
        <v>0.27291136980056763</v>
      </c>
      <c r="Q52">
        <v>0.14790745079517359</v>
      </c>
      <c r="R52">
        <v>2</v>
      </c>
      <c r="S52">
        <v>10</v>
      </c>
      <c r="T52" t="s">
        <v>225</v>
      </c>
      <c r="U52">
        <v>2.09420265935863</v>
      </c>
      <c r="V52">
        <v>0.62463363559973617</v>
      </c>
      <c r="W52">
        <v>92.4</v>
      </c>
      <c r="X52">
        <v>100</v>
      </c>
      <c r="Y52">
        <v>94.7</v>
      </c>
      <c r="Z52" t="s">
        <v>325</v>
      </c>
    </row>
    <row r="53" spans="1:26" x14ac:dyDescent="0.35">
      <c r="A53" t="s">
        <v>77</v>
      </c>
      <c r="B53">
        <v>2022</v>
      </c>
      <c r="C53">
        <v>5</v>
      </c>
      <c r="D53" t="s">
        <v>173</v>
      </c>
      <c r="E53">
        <v>3</v>
      </c>
      <c r="F53">
        <v>1.27</v>
      </c>
      <c r="G53">
        <v>3.0503189191222191E-2</v>
      </c>
      <c r="H53">
        <v>4.6793539077043533E-2</v>
      </c>
      <c r="I53">
        <v>4.0215663611888892E-2</v>
      </c>
      <c r="J53">
        <v>0.22754646837711329</v>
      </c>
      <c r="K53">
        <v>0.14783024787902829</v>
      </c>
      <c r="L53">
        <v>8.4466621279716492E-2</v>
      </c>
      <c r="M53">
        <v>0.69961655139923096</v>
      </c>
      <c r="N53">
        <v>-0.65886467695236206</v>
      </c>
      <c r="O53">
        <v>-0.27277004718780518</v>
      </c>
      <c r="P53">
        <v>0.37766280770301819</v>
      </c>
      <c r="Q53">
        <v>0.36599385738372803</v>
      </c>
      <c r="R53">
        <v>2</v>
      </c>
      <c r="S53">
        <v>10</v>
      </c>
      <c r="T53" t="s">
        <v>226</v>
      </c>
      <c r="U53">
        <v>1.3540696844318969</v>
      </c>
      <c r="V53">
        <v>0.93435649791828923</v>
      </c>
      <c r="W53">
        <v>96.8</v>
      </c>
      <c r="X53">
        <v>100</v>
      </c>
      <c r="Y53">
        <v>97.8</v>
      </c>
      <c r="Z53" t="s">
        <v>325</v>
      </c>
    </row>
    <row r="54" spans="1:26" x14ac:dyDescent="0.35">
      <c r="A54" t="s">
        <v>78</v>
      </c>
      <c r="B54">
        <v>2022</v>
      </c>
      <c r="C54">
        <v>6</v>
      </c>
      <c r="D54" t="s">
        <v>173</v>
      </c>
      <c r="E54">
        <v>3</v>
      </c>
      <c r="F54">
        <v>0.49</v>
      </c>
      <c r="G54">
        <v>1.8267473205924031E-2</v>
      </c>
      <c r="H54">
        <v>4.1045539081096649E-2</v>
      </c>
      <c r="I54">
        <v>3.591734915971756E-2</v>
      </c>
      <c r="J54">
        <v>0.22271256148815161</v>
      </c>
      <c r="K54">
        <v>0.1314674764871597</v>
      </c>
      <c r="L54">
        <v>7.2313874959945679E-2</v>
      </c>
      <c r="M54">
        <v>0.72224903106689453</v>
      </c>
      <c r="N54">
        <v>-0.68876379728317261</v>
      </c>
      <c r="O54">
        <v>-0.29027974605560303</v>
      </c>
      <c r="P54">
        <v>0.35888731479644781</v>
      </c>
      <c r="Q54">
        <v>0.36934056878089899</v>
      </c>
      <c r="R54">
        <v>2</v>
      </c>
      <c r="S54">
        <v>10</v>
      </c>
      <c r="T54" t="s">
        <v>227</v>
      </c>
      <c r="U54">
        <v>1.854007071294558</v>
      </c>
      <c r="V54">
        <v>0.75228651938354518</v>
      </c>
      <c r="W54">
        <v>98.8</v>
      </c>
      <c r="X54">
        <v>100</v>
      </c>
      <c r="Y54">
        <v>99.2</v>
      </c>
      <c r="Z54" t="s">
        <v>325</v>
      </c>
    </row>
    <row r="55" spans="1:26" x14ac:dyDescent="0.35">
      <c r="A55" t="s">
        <v>79</v>
      </c>
      <c r="B55">
        <v>2022</v>
      </c>
      <c r="C55">
        <v>6</v>
      </c>
      <c r="D55" t="s">
        <v>173</v>
      </c>
      <c r="E55">
        <v>3</v>
      </c>
      <c r="F55">
        <v>7.94</v>
      </c>
      <c r="G55">
        <v>0.29151368141174322</v>
      </c>
      <c r="H55">
        <v>0.2950955331325531</v>
      </c>
      <c r="I55">
        <v>0.29833832383155823</v>
      </c>
      <c r="J55">
        <v>0.42267519235610962</v>
      </c>
      <c r="K55">
        <v>0.37046122550964361</v>
      </c>
      <c r="L55">
        <v>0.35275250673294067</v>
      </c>
      <c r="M55">
        <v>0.17244733870029449</v>
      </c>
      <c r="N55">
        <v>-0.1777443140745163</v>
      </c>
      <c r="O55">
        <v>-2.4486148729920391E-2</v>
      </c>
      <c r="P55">
        <v>0.30286106467247009</v>
      </c>
      <c r="Q55">
        <v>0.15274630486965179</v>
      </c>
      <c r="R55">
        <v>2</v>
      </c>
      <c r="S55">
        <v>10</v>
      </c>
      <c r="T55" t="s">
        <v>228</v>
      </c>
      <c r="U55">
        <v>3.6146992596093011</v>
      </c>
      <c r="V55">
        <v>4.199896489332644E-2</v>
      </c>
      <c r="W55">
        <v>80.2</v>
      </c>
      <c r="X55">
        <v>100</v>
      </c>
      <c r="Y55">
        <v>86.1</v>
      </c>
      <c r="Z55" t="s">
        <v>326</v>
      </c>
    </row>
    <row r="56" spans="1:26" x14ac:dyDescent="0.35">
      <c r="A56" t="s">
        <v>80</v>
      </c>
      <c r="B56">
        <v>2022</v>
      </c>
      <c r="C56">
        <v>6</v>
      </c>
      <c r="D56" t="s">
        <v>173</v>
      </c>
      <c r="E56">
        <v>3</v>
      </c>
      <c r="F56">
        <v>5.12</v>
      </c>
      <c r="G56">
        <v>4.0975227952003479E-2</v>
      </c>
      <c r="H56">
        <v>5.9405520558357239E-2</v>
      </c>
      <c r="I56">
        <v>5.3102940320968628E-2</v>
      </c>
      <c r="J56">
        <v>0.22792720794677729</v>
      </c>
      <c r="K56">
        <v>0.14263156056404111</v>
      </c>
      <c r="L56">
        <v>8.6430296301841736E-2</v>
      </c>
      <c r="M56">
        <v>0.62208366394042969</v>
      </c>
      <c r="N56">
        <v>-0.58650368452072144</v>
      </c>
      <c r="O56">
        <v>-0.24535408616065979</v>
      </c>
      <c r="P56">
        <v>0.35268709063529968</v>
      </c>
      <c r="Q56">
        <v>0.33575707674026489</v>
      </c>
      <c r="R56">
        <v>2</v>
      </c>
      <c r="S56">
        <v>10</v>
      </c>
      <c r="T56" t="s">
        <v>229</v>
      </c>
      <c r="U56">
        <v>1.546348941744345</v>
      </c>
      <c r="V56">
        <v>0.88044041485888502</v>
      </c>
      <c r="W56">
        <v>87.2</v>
      </c>
      <c r="X56">
        <v>100</v>
      </c>
      <c r="Y56">
        <v>91</v>
      </c>
      <c r="Z56" t="s">
        <v>325</v>
      </c>
    </row>
    <row r="57" spans="1:26" x14ac:dyDescent="0.35">
      <c r="A57" t="s">
        <v>81</v>
      </c>
      <c r="B57">
        <v>2022</v>
      </c>
      <c r="C57">
        <v>7</v>
      </c>
      <c r="D57" t="s">
        <v>174</v>
      </c>
      <c r="E57">
        <v>4</v>
      </c>
      <c r="F57">
        <v>19.329999999999998</v>
      </c>
      <c r="G57">
        <v>0.3662969172000885</v>
      </c>
      <c r="H57">
        <v>0.35752743482589722</v>
      </c>
      <c r="I57">
        <v>0.35329350829124451</v>
      </c>
      <c r="J57">
        <v>0.44498279690742493</v>
      </c>
      <c r="K57">
        <v>0.39736089110374451</v>
      </c>
      <c r="L57">
        <v>0.36260557174682623</v>
      </c>
      <c r="M57">
        <v>0.11485908925533291</v>
      </c>
      <c r="N57">
        <v>-0.10897725075483319</v>
      </c>
      <c r="O57">
        <v>-4.5732699334621429E-2</v>
      </c>
      <c r="P57">
        <v>0.28038960695266718</v>
      </c>
      <c r="Q57">
        <v>0.10593579709529879</v>
      </c>
      <c r="R57">
        <v>2</v>
      </c>
      <c r="S57">
        <v>10</v>
      </c>
      <c r="T57" t="s">
        <v>230</v>
      </c>
      <c r="U57">
        <v>2.5028230395101541</v>
      </c>
      <c r="V57">
        <v>0.39426262395290212</v>
      </c>
      <c r="W57">
        <v>51.7</v>
      </c>
      <c r="X57">
        <v>100</v>
      </c>
      <c r="Y57">
        <v>66.2</v>
      </c>
      <c r="Z57" t="s">
        <v>327</v>
      </c>
    </row>
    <row r="58" spans="1:26" x14ac:dyDescent="0.35">
      <c r="A58" t="s">
        <v>82</v>
      </c>
      <c r="B58">
        <v>2022</v>
      </c>
      <c r="C58">
        <v>7</v>
      </c>
      <c r="D58" t="s">
        <v>174</v>
      </c>
      <c r="E58">
        <v>4</v>
      </c>
      <c r="F58">
        <v>3</v>
      </c>
      <c r="G58">
        <v>2.9838560149073601E-2</v>
      </c>
      <c r="H58">
        <v>4.812491312623024E-2</v>
      </c>
      <c r="I58">
        <v>4.0501825511455543E-2</v>
      </c>
      <c r="J58">
        <v>0.21800728142261511</v>
      </c>
      <c r="K58">
        <v>0.14268685877323151</v>
      </c>
      <c r="L58">
        <v>8.0884523689746857E-2</v>
      </c>
      <c r="M58">
        <v>0.68665075302124023</v>
      </c>
      <c r="N58">
        <v>-0.63833826780319214</v>
      </c>
      <c r="O58">
        <v>-0.27643221616745001</v>
      </c>
      <c r="P58">
        <v>0.35867545008659357</v>
      </c>
      <c r="Q58">
        <v>0.35102832317352289</v>
      </c>
      <c r="R58">
        <v>2</v>
      </c>
      <c r="S58">
        <v>10</v>
      </c>
      <c r="T58" t="s">
        <v>231</v>
      </c>
      <c r="U58">
        <v>1.716239037131486</v>
      </c>
      <c r="V58">
        <v>0.81565836789793678</v>
      </c>
      <c r="W58">
        <v>92.5</v>
      </c>
      <c r="X58">
        <v>100</v>
      </c>
      <c r="Y58">
        <v>94.8</v>
      </c>
      <c r="Z58" t="s">
        <v>325</v>
      </c>
    </row>
    <row r="59" spans="1:26" x14ac:dyDescent="0.35">
      <c r="A59" t="s">
        <v>83</v>
      </c>
      <c r="B59">
        <v>2022</v>
      </c>
      <c r="C59">
        <v>7</v>
      </c>
      <c r="D59" t="s">
        <v>174</v>
      </c>
      <c r="E59">
        <v>4</v>
      </c>
      <c r="F59">
        <v>4.03</v>
      </c>
      <c r="G59">
        <v>0.40729427337646479</v>
      </c>
      <c r="H59">
        <v>0.39834964275360107</v>
      </c>
      <c r="I59">
        <v>0.39607474207878107</v>
      </c>
      <c r="J59">
        <v>0.47020745277404791</v>
      </c>
      <c r="K59">
        <v>0.45126309990882868</v>
      </c>
      <c r="L59">
        <v>0.41797581315040588</v>
      </c>
      <c r="M59">
        <v>8.5575699806213379E-2</v>
      </c>
      <c r="N59">
        <v>-8.2732394337654114E-2</v>
      </c>
      <c r="O59">
        <v>-3.8294751197099693E-2</v>
      </c>
      <c r="P59">
        <v>0.23401990532875061</v>
      </c>
      <c r="Q59">
        <v>8.1388063728809357E-2</v>
      </c>
      <c r="R59">
        <v>2</v>
      </c>
      <c r="S59">
        <v>10</v>
      </c>
      <c r="T59" t="s">
        <v>232</v>
      </c>
      <c r="U59">
        <v>2.649631525594129</v>
      </c>
      <c r="V59">
        <v>0.31895118492965141</v>
      </c>
      <c r="W59">
        <v>89.9</v>
      </c>
      <c r="X59">
        <v>100</v>
      </c>
      <c r="Y59">
        <v>92.9</v>
      </c>
      <c r="Z59" t="s">
        <v>325</v>
      </c>
    </row>
    <row r="60" spans="1:26" x14ac:dyDescent="0.35">
      <c r="A60" t="s">
        <v>84</v>
      </c>
      <c r="B60">
        <v>2022</v>
      </c>
      <c r="C60">
        <v>8</v>
      </c>
      <c r="D60" t="s">
        <v>174</v>
      </c>
      <c r="E60">
        <v>4</v>
      </c>
      <c r="F60">
        <v>6.72</v>
      </c>
      <c r="G60">
        <v>3.6124244332313538E-2</v>
      </c>
      <c r="H60">
        <v>5.1855415105819702E-2</v>
      </c>
      <c r="I60">
        <v>4.2456109076738358E-2</v>
      </c>
      <c r="J60">
        <v>0.22124810516834259</v>
      </c>
      <c r="K60">
        <v>0.14486986398696899</v>
      </c>
      <c r="L60">
        <v>8.2718111574649811E-2</v>
      </c>
      <c r="M60">
        <v>0.67800205945968628</v>
      </c>
      <c r="N60">
        <v>-0.62025082111358643</v>
      </c>
      <c r="O60">
        <v>-0.27308893203735352</v>
      </c>
      <c r="P60">
        <v>0.37092149257659912</v>
      </c>
      <c r="Q60">
        <v>0.35116738080978388</v>
      </c>
      <c r="R60">
        <v>2</v>
      </c>
      <c r="S60">
        <v>10</v>
      </c>
      <c r="T60" t="s">
        <v>233</v>
      </c>
      <c r="U60">
        <v>2.5390496021588569</v>
      </c>
      <c r="V60">
        <v>0.37504435843898842</v>
      </c>
      <c r="W60">
        <v>83.2</v>
      </c>
      <c r="X60">
        <v>100</v>
      </c>
      <c r="Y60">
        <v>88.2</v>
      </c>
      <c r="Z60" t="s">
        <v>326</v>
      </c>
    </row>
    <row r="61" spans="1:26" x14ac:dyDescent="0.35">
      <c r="A61" t="s">
        <v>85</v>
      </c>
      <c r="B61">
        <v>2022</v>
      </c>
      <c r="C61">
        <v>8</v>
      </c>
      <c r="D61" t="s">
        <v>174</v>
      </c>
      <c r="E61">
        <v>4</v>
      </c>
      <c r="F61">
        <v>1.24</v>
      </c>
      <c r="G61">
        <v>2.3703692480921749E-2</v>
      </c>
      <c r="H61">
        <v>4.7487549483776093E-2</v>
      </c>
      <c r="I61">
        <v>4.2194988578557968E-2</v>
      </c>
      <c r="J61">
        <v>0.2256059795618057</v>
      </c>
      <c r="K61">
        <v>0.14094151556491849</v>
      </c>
      <c r="L61">
        <v>7.8884288668632507E-2</v>
      </c>
      <c r="M61">
        <v>0.68487799167633057</v>
      </c>
      <c r="N61">
        <v>-0.6522250771522522</v>
      </c>
      <c r="O61">
        <v>-0.28230184316635132</v>
      </c>
      <c r="P61">
        <v>0.35244283080101008</v>
      </c>
      <c r="Q61">
        <v>0.35831746459007258</v>
      </c>
      <c r="R61">
        <v>2</v>
      </c>
      <c r="S61">
        <v>10</v>
      </c>
      <c r="T61" t="s">
        <v>234</v>
      </c>
      <c r="U61">
        <v>1.48890789140998</v>
      </c>
      <c r="V61">
        <v>0.89871410150552467</v>
      </c>
      <c r="W61">
        <v>96.9</v>
      </c>
      <c r="X61">
        <v>100</v>
      </c>
      <c r="Y61">
        <v>97.8</v>
      </c>
      <c r="Z61" t="s">
        <v>325</v>
      </c>
    </row>
    <row r="62" spans="1:26" x14ac:dyDescent="0.35">
      <c r="A62" t="s">
        <v>86</v>
      </c>
      <c r="B62">
        <v>2022</v>
      </c>
      <c r="C62">
        <v>8</v>
      </c>
      <c r="D62" t="s">
        <v>174</v>
      </c>
      <c r="E62">
        <v>4</v>
      </c>
      <c r="F62">
        <v>0</v>
      </c>
      <c r="G62">
        <v>2.8661254793405529E-2</v>
      </c>
      <c r="H62">
        <v>4.8970252275466919E-2</v>
      </c>
      <c r="I62">
        <v>4.298890009522438E-2</v>
      </c>
      <c r="J62">
        <v>0.2209136784076691</v>
      </c>
      <c r="K62">
        <v>0.15822593867778781</v>
      </c>
      <c r="L62">
        <v>9.0373709797859192E-2</v>
      </c>
      <c r="M62">
        <v>0.67420631647109985</v>
      </c>
      <c r="N62">
        <v>-0.63710141181945801</v>
      </c>
      <c r="O62">
        <v>-0.27293774485588068</v>
      </c>
      <c r="P62">
        <v>0.35193946957588201</v>
      </c>
      <c r="Q62">
        <v>0.34937334060668951</v>
      </c>
      <c r="R62">
        <v>2</v>
      </c>
      <c r="S62">
        <v>10</v>
      </c>
      <c r="T62" t="s">
        <v>235</v>
      </c>
      <c r="U62">
        <v>0.97763801475455525</v>
      </c>
      <c r="V62">
        <v>0.98723331168920314</v>
      </c>
      <c r="W62">
        <v>100</v>
      </c>
      <c r="X62">
        <v>100</v>
      </c>
      <c r="Y62">
        <v>100</v>
      </c>
      <c r="Z62" t="s">
        <v>325</v>
      </c>
    </row>
    <row r="63" spans="1:26" x14ac:dyDescent="0.35">
      <c r="A63" t="s">
        <v>87</v>
      </c>
      <c r="B63">
        <v>2022</v>
      </c>
      <c r="C63">
        <v>8</v>
      </c>
      <c r="D63" t="s">
        <v>174</v>
      </c>
      <c r="E63">
        <v>4</v>
      </c>
      <c r="F63">
        <v>5.82</v>
      </c>
      <c r="G63">
        <v>2.9706574976444241E-2</v>
      </c>
      <c r="H63">
        <v>5.3949974477291107E-2</v>
      </c>
      <c r="I63">
        <v>4.7747652977705002E-2</v>
      </c>
      <c r="J63">
        <v>0.23267896473407751</v>
      </c>
      <c r="K63">
        <v>0.15906247496604919</v>
      </c>
      <c r="L63">
        <v>9.0197958052158356E-2</v>
      </c>
      <c r="M63">
        <v>0.65946418046951294</v>
      </c>
      <c r="N63">
        <v>-0.62355530261993408</v>
      </c>
      <c r="O63">
        <v>-0.27627536654472351</v>
      </c>
      <c r="P63">
        <v>0.35663419961929321</v>
      </c>
      <c r="Q63">
        <v>0.35544270277023321</v>
      </c>
      <c r="R63">
        <v>2</v>
      </c>
      <c r="S63">
        <v>10</v>
      </c>
      <c r="T63" t="s">
        <v>236</v>
      </c>
      <c r="U63">
        <v>1.754385713495763</v>
      </c>
      <c r="V63">
        <v>0.79901189917982418</v>
      </c>
      <c r="W63">
        <v>85.4</v>
      </c>
      <c r="X63">
        <v>100</v>
      </c>
      <c r="Y63">
        <v>89.8</v>
      </c>
      <c r="Z63" t="s">
        <v>326</v>
      </c>
    </row>
    <row r="64" spans="1:26" x14ac:dyDescent="0.35">
      <c r="A64" t="s">
        <v>88</v>
      </c>
      <c r="B64">
        <v>2022</v>
      </c>
      <c r="C64">
        <v>9</v>
      </c>
      <c r="D64" t="s">
        <v>174</v>
      </c>
      <c r="E64">
        <v>4</v>
      </c>
      <c r="F64">
        <v>4.12</v>
      </c>
      <c r="G64">
        <v>2.9759630560874939E-2</v>
      </c>
      <c r="H64">
        <v>4.866805300116539E-2</v>
      </c>
      <c r="I64">
        <v>4.2516257613897317E-2</v>
      </c>
      <c r="J64">
        <v>0.2242972403764725</v>
      </c>
      <c r="K64">
        <v>0.15325124561786649</v>
      </c>
      <c r="L64">
        <v>8.8716678321361542E-2</v>
      </c>
      <c r="M64">
        <v>0.68130356073379517</v>
      </c>
      <c r="N64">
        <v>-0.64341217279434204</v>
      </c>
      <c r="O64">
        <v>-0.26670712232589722</v>
      </c>
      <c r="P64">
        <v>0.36176830530166632</v>
      </c>
      <c r="Q64">
        <v>0.3555903434753418</v>
      </c>
      <c r="R64">
        <v>2</v>
      </c>
      <c r="S64">
        <v>10</v>
      </c>
      <c r="T64" t="s">
        <v>237</v>
      </c>
      <c r="U64">
        <v>1.1320803668453521</v>
      </c>
      <c r="V64">
        <v>0.97266227666011151</v>
      </c>
      <c r="W64">
        <v>89.7</v>
      </c>
      <c r="X64">
        <v>100</v>
      </c>
      <c r="Y64">
        <v>92.8</v>
      </c>
      <c r="Z64" t="s">
        <v>325</v>
      </c>
    </row>
    <row r="65" spans="1:26" x14ac:dyDescent="0.35">
      <c r="A65" t="s">
        <v>89</v>
      </c>
      <c r="B65">
        <v>2023</v>
      </c>
      <c r="C65">
        <v>9</v>
      </c>
      <c r="D65" t="s">
        <v>171</v>
      </c>
      <c r="E65">
        <v>1</v>
      </c>
      <c r="F65">
        <v>1.97</v>
      </c>
      <c r="G65">
        <v>2.237056195735931E-2</v>
      </c>
      <c r="H65">
        <v>4.6333372592926032E-2</v>
      </c>
      <c r="I65">
        <v>3.9718005806207657E-2</v>
      </c>
      <c r="J65">
        <v>0.22582519054412839</v>
      </c>
      <c r="K65">
        <v>0.16376353800296781</v>
      </c>
      <c r="L65">
        <v>9.0038768947124481E-2</v>
      </c>
      <c r="M65">
        <v>0.70085465908050537</v>
      </c>
      <c r="N65">
        <v>-0.65951192378997803</v>
      </c>
      <c r="O65">
        <v>-0.2904810905456543</v>
      </c>
      <c r="P65">
        <v>0.35890501737594599</v>
      </c>
      <c r="Q65">
        <v>0.36465710401535029</v>
      </c>
      <c r="R65">
        <v>2</v>
      </c>
      <c r="S65">
        <v>10</v>
      </c>
      <c r="T65" t="s">
        <v>238</v>
      </c>
      <c r="U65">
        <v>3.0514164892958222</v>
      </c>
      <c r="V65">
        <v>0.15682091256595079</v>
      </c>
      <c r="W65">
        <v>95.1</v>
      </c>
      <c r="X65">
        <v>100</v>
      </c>
      <c r="Y65">
        <v>96.6</v>
      </c>
      <c r="Z65" t="s">
        <v>325</v>
      </c>
    </row>
    <row r="66" spans="1:26" x14ac:dyDescent="0.35">
      <c r="A66" t="s">
        <v>90</v>
      </c>
      <c r="B66">
        <v>2023</v>
      </c>
      <c r="C66">
        <v>10</v>
      </c>
      <c r="D66" t="s">
        <v>171</v>
      </c>
      <c r="E66">
        <v>1</v>
      </c>
      <c r="F66">
        <v>19.64</v>
      </c>
      <c r="G66">
        <v>4.308207705616951E-2</v>
      </c>
      <c r="H66">
        <v>6.6011160612106323E-2</v>
      </c>
      <c r="I66">
        <v>6.2190685421228409E-2</v>
      </c>
      <c r="J66">
        <v>0.26630821824073792</v>
      </c>
      <c r="K66">
        <v>0.19901429116725919</v>
      </c>
      <c r="L66">
        <v>0.12395633012056349</v>
      </c>
      <c r="M66">
        <v>0.62136447429656982</v>
      </c>
      <c r="N66">
        <v>-0.60272455215454102</v>
      </c>
      <c r="O66">
        <v>-0.23239871859550479</v>
      </c>
      <c r="P66">
        <v>0.38766208291053772</v>
      </c>
      <c r="Q66">
        <v>0.36955547332763672</v>
      </c>
      <c r="R66">
        <v>2</v>
      </c>
      <c r="S66">
        <v>10</v>
      </c>
      <c r="T66" t="s">
        <v>239</v>
      </c>
      <c r="U66">
        <v>1.2145883157212449</v>
      </c>
      <c r="V66">
        <v>0.96112327161007394</v>
      </c>
      <c r="W66">
        <v>50.9</v>
      </c>
      <c r="X66">
        <v>100</v>
      </c>
      <c r="Y66">
        <v>65.599999999999994</v>
      </c>
      <c r="Z66" t="s">
        <v>327</v>
      </c>
    </row>
    <row r="67" spans="1:26" x14ac:dyDescent="0.35">
      <c r="A67" t="s">
        <v>91</v>
      </c>
      <c r="B67">
        <v>2023</v>
      </c>
      <c r="C67">
        <v>11</v>
      </c>
      <c r="D67" t="s">
        <v>171</v>
      </c>
      <c r="E67">
        <v>1</v>
      </c>
      <c r="F67">
        <v>3.09</v>
      </c>
      <c r="G67">
        <v>4.0616601705551147E-2</v>
      </c>
      <c r="H67">
        <v>6.7041128873825073E-2</v>
      </c>
      <c r="I67">
        <v>6.5073266625404358E-2</v>
      </c>
      <c r="J67">
        <v>0.28441071510314941</v>
      </c>
      <c r="K67">
        <v>0.1943311542272568</v>
      </c>
      <c r="L67">
        <v>0.1221227720379829</v>
      </c>
      <c r="M67">
        <v>0.62760376930236816</v>
      </c>
      <c r="N67">
        <v>-0.61849039793014526</v>
      </c>
      <c r="O67">
        <v>-0.2281797528266907</v>
      </c>
      <c r="P67">
        <v>0.40018483996391302</v>
      </c>
      <c r="Q67">
        <v>0.3873012363910675</v>
      </c>
      <c r="R67">
        <v>2</v>
      </c>
      <c r="S67">
        <v>10</v>
      </c>
      <c r="T67" t="s">
        <v>240</v>
      </c>
      <c r="U67">
        <v>1.847949894693852</v>
      </c>
      <c r="V67">
        <v>0.75525280625981095</v>
      </c>
      <c r="W67">
        <v>92.3</v>
      </c>
      <c r="X67">
        <v>100</v>
      </c>
      <c r="Y67">
        <v>94.6</v>
      </c>
      <c r="Z67" t="s">
        <v>325</v>
      </c>
    </row>
    <row r="68" spans="1:26" x14ac:dyDescent="0.35">
      <c r="A68" t="s">
        <v>92</v>
      </c>
      <c r="B68">
        <v>2023</v>
      </c>
      <c r="C68">
        <v>12</v>
      </c>
      <c r="D68" t="s">
        <v>172</v>
      </c>
      <c r="E68">
        <v>2</v>
      </c>
      <c r="F68">
        <v>2.66</v>
      </c>
      <c r="G68">
        <v>7.8575491905212402E-2</v>
      </c>
      <c r="H68">
        <v>9.597817063331604E-2</v>
      </c>
      <c r="I68">
        <v>8.2284368574619293E-2</v>
      </c>
      <c r="J68">
        <v>0.32098597288131708</v>
      </c>
      <c r="K68">
        <v>0.19975461065769201</v>
      </c>
      <c r="L68">
        <v>0.1234772354364395</v>
      </c>
      <c r="M68">
        <v>0.59191465377807617</v>
      </c>
      <c r="N68">
        <v>-0.53963345289230347</v>
      </c>
      <c r="O68">
        <v>-0.2359834760427475</v>
      </c>
      <c r="P68">
        <v>0.48699665069580078</v>
      </c>
      <c r="Q68">
        <v>0.39639562368392939</v>
      </c>
      <c r="R68">
        <v>2</v>
      </c>
      <c r="S68">
        <v>10</v>
      </c>
      <c r="T68" t="s">
        <v>241</v>
      </c>
      <c r="U68">
        <v>1.3940058959376991</v>
      </c>
      <c r="V68">
        <v>0.5</v>
      </c>
      <c r="W68">
        <v>93.4</v>
      </c>
      <c r="X68">
        <v>100</v>
      </c>
      <c r="Y68">
        <v>95.4</v>
      </c>
      <c r="Z68" t="s">
        <v>325</v>
      </c>
    </row>
    <row r="69" spans="1:26" x14ac:dyDescent="0.35">
      <c r="A69" t="s">
        <v>93</v>
      </c>
      <c r="B69">
        <v>2023</v>
      </c>
      <c r="C69">
        <v>4</v>
      </c>
      <c r="D69" t="s">
        <v>173</v>
      </c>
      <c r="E69">
        <v>3</v>
      </c>
      <c r="F69">
        <v>0</v>
      </c>
      <c r="G69">
        <v>2.7690539136528969E-2</v>
      </c>
      <c r="H69">
        <v>4.7016456723213203E-2</v>
      </c>
      <c r="I69">
        <v>4.4002044945955283E-2</v>
      </c>
      <c r="J69">
        <v>0.2463066428899765</v>
      </c>
      <c r="K69">
        <v>0.1628030389547348</v>
      </c>
      <c r="L69">
        <v>9.159870445728302E-2</v>
      </c>
      <c r="M69">
        <v>0.69686031341552734</v>
      </c>
      <c r="N69">
        <v>-0.67942208051681519</v>
      </c>
      <c r="O69">
        <v>-0.27988934516906738</v>
      </c>
      <c r="P69">
        <v>0.38825884461402888</v>
      </c>
      <c r="Q69">
        <v>0.38397261500358582</v>
      </c>
      <c r="R69">
        <v>2</v>
      </c>
      <c r="S69">
        <v>10</v>
      </c>
      <c r="T69" t="s">
        <v>242</v>
      </c>
      <c r="U69">
        <v>2.1554162155232981</v>
      </c>
      <c r="V69">
        <v>0.58997283761963715</v>
      </c>
      <c r="W69">
        <v>100</v>
      </c>
      <c r="X69">
        <v>100</v>
      </c>
      <c r="Y69">
        <v>100</v>
      </c>
      <c r="Z69" t="s">
        <v>325</v>
      </c>
    </row>
    <row r="70" spans="1:26" x14ac:dyDescent="0.35">
      <c r="A70" t="s">
        <v>94</v>
      </c>
      <c r="B70">
        <v>2023</v>
      </c>
      <c r="C70">
        <v>4</v>
      </c>
      <c r="D70" t="s">
        <v>173</v>
      </c>
      <c r="E70">
        <v>3</v>
      </c>
      <c r="F70">
        <v>8.16</v>
      </c>
      <c r="G70">
        <v>3.1145671382546421E-2</v>
      </c>
      <c r="H70">
        <v>5.4018933326005943E-2</v>
      </c>
      <c r="I70">
        <v>5.160774290561676E-2</v>
      </c>
      <c r="J70">
        <v>0.25333571434021002</v>
      </c>
      <c r="K70">
        <v>0.1813594996929169</v>
      </c>
      <c r="L70">
        <v>0.10322848707437519</v>
      </c>
      <c r="M70">
        <v>0.66152584552764893</v>
      </c>
      <c r="N70">
        <v>-0.64849120378494263</v>
      </c>
      <c r="O70">
        <v>-0.27454081177711492</v>
      </c>
      <c r="P70">
        <v>0.37936198711395258</v>
      </c>
      <c r="Q70">
        <v>0.37591704726219177</v>
      </c>
      <c r="R70">
        <v>2</v>
      </c>
      <c r="S70">
        <v>10</v>
      </c>
      <c r="T70" t="s">
        <v>243</v>
      </c>
      <c r="U70">
        <v>2.4117024232579962</v>
      </c>
      <c r="V70">
        <v>0.44407890933880478</v>
      </c>
      <c r="W70">
        <v>79.599999999999994</v>
      </c>
      <c r="X70">
        <v>100</v>
      </c>
      <c r="Y70">
        <v>85.7</v>
      </c>
      <c r="Z70" t="s">
        <v>326</v>
      </c>
    </row>
    <row r="71" spans="1:26" x14ac:dyDescent="0.35">
      <c r="A71" t="s">
        <v>95</v>
      </c>
      <c r="B71">
        <v>2023</v>
      </c>
      <c r="C71">
        <v>4</v>
      </c>
      <c r="D71" t="s">
        <v>173</v>
      </c>
      <c r="E71">
        <v>3</v>
      </c>
      <c r="F71">
        <v>19.399999999999999</v>
      </c>
      <c r="G71">
        <v>0.18753869831562039</v>
      </c>
      <c r="H71">
        <v>0.18988144397735601</v>
      </c>
      <c r="I71">
        <v>0.1833280622959137</v>
      </c>
      <c r="J71">
        <v>0.30369654297828669</v>
      </c>
      <c r="K71">
        <v>0.2461042255163193</v>
      </c>
      <c r="L71">
        <v>0.19758585095405579</v>
      </c>
      <c r="M71">
        <v>0.247150719165802</v>
      </c>
      <c r="N71">
        <v>-0.23059192299842829</v>
      </c>
      <c r="O71">
        <v>-0.1093519553542137</v>
      </c>
      <c r="P71">
        <v>0.30178895592689509</v>
      </c>
      <c r="Q71">
        <v>0.18292626738548279</v>
      </c>
      <c r="R71">
        <v>2</v>
      </c>
      <c r="S71">
        <v>10</v>
      </c>
      <c r="T71" t="s">
        <v>244</v>
      </c>
      <c r="U71">
        <v>2.8070780113859328</v>
      </c>
      <c r="V71">
        <v>0.2470509619994922</v>
      </c>
      <c r="W71">
        <v>51.5</v>
      </c>
      <c r="X71">
        <v>100</v>
      </c>
      <c r="Y71">
        <v>66</v>
      </c>
      <c r="Z71" t="s">
        <v>327</v>
      </c>
    </row>
    <row r="72" spans="1:26" x14ac:dyDescent="0.35">
      <c r="A72" t="s">
        <v>96</v>
      </c>
      <c r="B72">
        <v>2023</v>
      </c>
      <c r="C72">
        <v>5</v>
      </c>
      <c r="D72" t="s">
        <v>173</v>
      </c>
      <c r="E72">
        <v>3</v>
      </c>
      <c r="F72">
        <v>0.52</v>
      </c>
      <c r="G72">
        <v>2.792962267994881E-2</v>
      </c>
      <c r="H72">
        <v>4.4178441166877747E-2</v>
      </c>
      <c r="I72">
        <v>3.9627283811569207E-2</v>
      </c>
      <c r="J72">
        <v>0.2102052420377731</v>
      </c>
      <c r="K72">
        <v>0.15629568696022031</v>
      </c>
      <c r="L72">
        <v>8.9391417801380157E-2</v>
      </c>
      <c r="M72">
        <v>0.68276923894882202</v>
      </c>
      <c r="N72">
        <v>-0.65266293287277222</v>
      </c>
      <c r="O72">
        <v>-0.27231493592262268</v>
      </c>
      <c r="P72">
        <v>0.34432458877563482</v>
      </c>
      <c r="Q72">
        <v>0.34123212099075317</v>
      </c>
      <c r="R72">
        <v>2</v>
      </c>
      <c r="S72">
        <v>10</v>
      </c>
      <c r="T72" t="s">
        <v>245</v>
      </c>
      <c r="U72">
        <v>1.9240766384850549</v>
      </c>
      <c r="V72">
        <v>0.71691940102626617</v>
      </c>
      <c r="W72">
        <v>98.7</v>
      </c>
      <c r="X72">
        <v>100</v>
      </c>
      <c r="Y72">
        <v>99.1</v>
      </c>
      <c r="Z72" t="s">
        <v>325</v>
      </c>
    </row>
    <row r="73" spans="1:26" x14ac:dyDescent="0.35">
      <c r="A73" t="s">
        <v>97</v>
      </c>
      <c r="B73">
        <v>2023</v>
      </c>
      <c r="C73">
        <v>5</v>
      </c>
      <c r="D73" t="s">
        <v>173</v>
      </c>
      <c r="E73">
        <v>3</v>
      </c>
      <c r="F73">
        <v>5.7</v>
      </c>
      <c r="G73">
        <v>2.497338131070137E-2</v>
      </c>
      <c r="H73">
        <v>4.517611488699913E-2</v>
      </c>
      <c r="I73">
        <v>3.7459917366504669E-2</v>
      </c>
      <c r="J73">
        <v>0.23524004220962519</v>
      </c>
      <c r="K73">
        <v>0.14984495937824249</v>
      </c>
      <c r="L73">
        <v>8.1750117242336273E-2</v>
      </c>
      <c r="M73">
        <v>0.72526645660400391</v>
      </c>
      <c r="N73">
        <v>-0.67779231071472168</v>
      </c>
      <c r="O73">
        <v>-0.29402545094490051</v>
      </c>
      <c r="P73">
        <v>0.38850522041320801</v>
      </c>
      <c r="Q73">
        <v>0.3839397132396698</v>
      </c>
      <c r="R73">
        <v>2</v>
      </c>
      <c r="S73">
        <v>10</v>
      </c>
      <c r="T73" t="s">
        <v>246</v>
      </c>
      <c r="U73">
        <v>1.2144055583339699</v>
      </c>
      <c r="V73">
        <v>0.9611521434382716</v>
      </c>
      <c r="W73">
        <v>85.8</v>
      </c>
      <c r="X73">
        <v>100</v>
      </c>
      <c r="Y73">
        <v>90.1</v>
      </c>
      <c r="Z73" t="s">
        <v>325</v>
      </c>
    </row>
    <row r="74" spans="1:26" x14ac:dyDescent="0.35">
      <c r="A74" t="s">
        <v>98</v>
      </c>
      <c r="B74">
        <v>2023</v>
      </c>
      <c r="C74">
        <v>6</v>
      </c>
      <c r="D74" t="s">
        <v>173</v>
      </c>
      <c r="E74">
        <v>3</v>
      </c>
      <c r="F74">
        <v>4.05</v>
      </c>
      <c r="G74">
        <v>0.30584120750427252</v>
      </c>
      <c r="H74">
        <v>0.31359595060348511</v>
      </c>
      <c r="I74">
        <v>0.31539854407310491</v>
      </c>
      <c r="J74">
        <v>0.42115768790245062</v>
      </c>
      <c r="K74">
        <v>0.37887492775917048</v>
      </c>
      <c r="L74">
        <v>0.35245811939239502</v>
      </c>
      <c r="M74">
        <v>0.14358597993850711</v>
      </c>
      <c r="N74">
        <v>-0.14639157056808469</v>
      </c>
      <c r="O74">
        <v>-3.6121450364589691E-2</v>
      </c>
      <c r="P74">
        <v>0.25927972793579102</v>
      </c>
      <c r="Q74">
        <v>0.1282907426357269</v>
      </c>
      <c r="R74">
        <v>2</v>
      </c>
      <c r="S74">
        <v>10</v>
      </c>
      <c r="T74" t="s">
        <v>247</v>
      </c>
      <c r="U74">
        <v>2.8986158461738509</v>
      </c>
      <c r="V74">
        <v>0.210107490823399</v>
      </c>
      <c r="W74">
        <v>89.9</v>
      </c>
      <c r="X74">
        <v>100</v>
      </c>
      <c r="Y74">
        <v>92.9</v>
      </c>
      <c r="Z74" t="s">
        <v>325</v>
      </c>
    </row>
    <row r="75" spans="1:26" x14ac:dyDescent="0.35">
      <c r="A75" t="s">
        <v>99</v>
      </c>
      <c r="B75">
        <v>2023</v>
      </c>
      <c r="C75">
        <v>6</v>
      </c>
      <c r="D75" t="s">
        <v>173</v>
      </c>
      <c r="E75">
        <v>3</v>
      </c>
      <c r="F75">
        <v>15.31</v>
      </c>
      <c r="G75">
        <v>0.27360844612121582</v>
      </c>
      <c r="H75">
        <v>0.28314480185508728</v>
      </c>
      <c r="I75">
        <v>0.28640416264534002</v>
      </c>
      <c r="J75">
        <v>0.41541662812232971</v>
      </c>
      <c r="K75">
        <v>0.37445825338363647</v>
      </c>
      <c r="L75">
        <v>0.34174734354019171</v>
      </c>
      <c r="M75">
        <v>0.1838253736495972</v>
      </c>
      <c r="N75">
        <v>-0.18934887647628779</v>
      </c>
      <c r="O75">
        <v>-4.5672513544559479E-2</v>
      </c>
      <c r="P75">
        <v>0.29814904928207397</v>
      </c>
      <c r="Q75">
        <v>0.16102126240730291</v>
      </c>
      <c r="R75">
        <v>2</v>
      </c>
      <c r="S75">
        <v>10</v>
      </c>
      <c r="T75" t="s">
        <v>248</v>
      </c>
      <c r="U75">
        <v>2.856084885264516</v>
      </c>
      <c r="V75">
        <v>0.22680975822673191</v>
      </c>
      <c r="W75">
        <v>61.7</v>
      </c>
      <c r="X75">
        <v>100</v>
      </c>
      <c r="Y75">
        <v>73.2</v>
      </c>
      <c r="Z75" t="s">
        <v>328</v>
      </c>
    </row>
    <row r="76" spans="1:26" x14ac:dyDescent="0.35">
      <c r="A76" t="s">
        <v>100</v>
      </c>
      <c r="B76">
        <v>2023</v>
      </c>
      <c r="C76">
        <v>6</v>
      </c>
      <c r="D76" t="s">
        <v>173</v>
      </c>
      <c r="E76">
        <v>3</v>
      </c>
      <c r="F76">
        <v>13.71</v>
      </c>
      <c r="G76">
        <v>3.2370224595069892E-2</v>
      </c>
      <c r="H76">
        <v>4.7076985239982598E-2</v>
      </c>
      <c r="I76">
        <v>3.5797234624624252E-2</v>
      </c>
      <c r="J76">
        <v>0.23411926627159119</v>
      </c>
      <c r="K76">
        <v>0.1347191780805588</v>
      </c>
      <c r="L76">
        <v>7.304093986749649E-2</v>
      </c>
      <c r="M76">
        <v>0.73475325107574463</v>
      </c>
      <c r="N76">
        <v>-0.66516637802124023</v>
      </c>
      <c r="O76">
        <v>-0.2968723475933075</v>
      </c>
      <c r="P76">
        <v>0.41107237339019781</v>
      </c>
      <c r="Q76">
        <v>0.38638347387313843</v>
      </c>
      <c r="R76">
        <v>2</v>
      </c>
      <c r="S76">
        <v>10</v>
      </c>
      <c r="T76" t="s">
        <v>249</v>
      </c>
      <c r="U76">
        <v>2.920490786457461</v>
      </c>
      <c r="V76">
        <v>0.20183327352739361</v>
      </c>
      <c r="W76">
        <v>65.7</v>
      </c>
      <c r="X76">
        <v>100</v>
      </c>
      <c r="Y76">
        <v>76</v>
      </c>
      <c r="Z76" t="s">
        <v>328</v>
      </c>
    </row>
    <row r="77" spans="1:26" x14ac:dyDescent="0.35">
      <c r="A77" t="s">
        <v>101</v>
      </c>
      <c r="B77">
        <v>2023</v>
      </c>
      <c r="C77">
        <v>6</v>
      </c>
      <c r="D77" t="s">
        <v>173</v>
      </c>
      <c r="E77">
        <v>3</v>
      </c>
      <c r="F77">
        <v>2.38</v>
      </c>
      <c r="G77">
        <v>3.0322009697556499E-2</v>
      </c>
      <c r="H77">
        <v>4.7919481992721558E-2</v>
      </c>
      <c r="I77">
        <v>3.8874067366123199E-2</v>
      </c>
      <c r="J77">
        <v>0.2478492259979248</v>
      </c>
      <c r="K77">
        <v>0.14215287566185</v>
      </c>
      <c r="L77">
        <v>8.1915393471717834E-2</v>
      </c>
      <c r="M77">
        <v>0.72883915901184082</v>
      </c>
      <c r="N77">
        <v>-0.67596650123596191</v>
      </c>
      <c r="O77">
        <v>-0.2688353955745697</v>
      </c>
      <c r="P77">
        <v>0.41672396659851069</v>
      </c>
      <c r="Q77">
        <v>0.39844095706939697</v>
      </c>
      <c r="R77">
        <v>2</v>
      </c>
      <c r="S77">
        <v>10</v>
      </c>
      <c r="T77" t="s">
        <v>250</v>
      </c>
      <c r="U77">
        <v>1.793362801807949</v>
      </c>
      <c r="V77">
        <v>0.78126957933994046</v>
      </c>
      <c r="W77">
        <v>94</v>
      </c>
      <c r="X77">
        <v>100</v>
      </c>
      <c r="Y77">
        <v>95.8</v>
      </c>
      <c r="Z77" t="s">
        <v>325</v>
      </c>
    </row>
    <row r="78" spans="1:26" x14ac:dyDescent="0.35">
      <c r="A78" t="s">
        <v>102</v>
      </c>
      <c r="B78">
        <v>2023</v>
      </c>
      <c r="C78">
        <v>6</v>
      </c>
      <c r="D78" t="s">
        <v>174</v>
      </c>
      <c r="E78">
        <v>4</v>
      </c>
      <c r="F78">
        <v>1.07</v>
      </c>
      <c r="G78">
        <v>3.7730041891336441E-2</v>
      </c>
      <c r="H78">
        <v>5.9162512421607971E-2</v>
      </c>
      <c r="I78">
        <v>5.2231438457965851E-2</v>
      </c>
      <c r="J78">
        <v>0.23992070555686951</v>
      </c>
      <c r="K78">
        <v>0.1369721591472626</v>
      </c>
      <c r="L78">
        <v>7.9638019204139709E-2</v>
      </c>
      <c r="M78">
        <v>0.64243674278259277</v>
      </c>
      <c r="N78">
        <v>-0.6043742299079895</v>
      </c>
      <c r="O78">
        <v>-0.26468810439109802</v>
      </c>
      <c r="P78">
        <v>0.36936995387077332</v>
      </c>
      <c r="Q78">
        <v>0.3554038405418396</v>
      </c>
      <c r="R78">
        <v>2</v>
      </c>
      <c r="S78">
        <v>10</v>
      </c>
      <c r="T78" t="s">
        <v>251</v>
      </c>
      <c r="U78">
        <v>1.4420611580824421</v>
      </c>
      <c r="V78">
        <v>0.9122397659797894</v>
      </c>
      <c r="W78">
        <v>97.3</v>
      </c>
      <c r="X78">
        <v>100</v>
      </c>
      <c r="Y78">
        <v>98.1</v>
      </c>
      <c r="Z78" t="s">
        <v>325</v>
      </c>
    </row>
    <row r="79" spans="1:26" x14ac:dyDescent="0.35">
      <c r="A79" t="s">
        <v>103</v>
      </c>
      <c r="B79">
        <v>2023</v>
      </c>
      <c r="C79">
        <v>6</v>
      </c>
      <c r="D79" t="s">
        <v>174</v>
      </c>
      <c r="E79">
        <v>4</v>
      </c>
      <c r="F79">
        <v>2.71</v>
      </c>
      <c r="G79">
        <v>5.4965071380138397E-2</v>
      </c>
      <c r="H79">
        <v>7.1716621518135071E-2</v>
      </c>
      <c r="I79">
        <v>6.5068289637565613E-2</v>
      </c>
      <c r="J79">
        <v>0.25216960906982422</v>
      </c>
      <c r="K79">
        <v>0.14893877506256101</v>
      </c>
      <c r="L79">
        <v>9.8533429205417633E-2</v>
      </c>
      <c r="M79">
        <v>0.58978235721588135</v>
      </c>
      <c r="N79">
        <v>-0.55714935064315796</v>
      </c>
      <c r="O79">
        <v>-0.20368084311485291</v>
      </c>
      <c r="P79">
        <v>0.38018172979354858</v>
      </c>
      <c r="Q79">
        <v>0.34341526031494141</v>
      </c>
      <c r="R79">
        <v>2</v>
      </c>
      <c r="S79">
        <v>10</v>
      </c>
      <c r="T79" t="s">
        <v>252</v>
      </c>
      <c r="U79">
        <v>2.0150316895915852</v>
      </c>
      <c r="V79">
        <v>0.66850918020979666</v>
      </c>
      <c r="W79">
        <v>93.2</v>
      </c>
      <c r="X79">
        <v>100</v>
      </c>
      <c r="Y79">
        <v>95.2</v>
      </c>
      <c r="Z79" t="s">
        <v>325</v>
      </c>
    </row>
    <row r="80" spans="1:26" x14ac:dyDescent="0.35">
      <c r="A80" t="s">
        <v>104</v>
      </c>
      <c r="B80">
        <v>2023</v>
      </c>
      <c r="C80">
        <v>7</v>
      </c>
      <c r="D80" t="s">
        <v>174</v>
      </c>
      <c r="E80">
        <v>4</v>
      </c>
      <c r="F80">
        <v>2.38</v>
      </c>
      <c r="G80">
        <v>5.7821314781904221E-2</v>
      </c>
      <c r="H80">
        <v>7.7030815184116364E-2</v>
      </c>
      <c r="I80">
        <v>6.9680407643318176E-2</v>
      </c>
      <c r="J80">
        <v>0.2468671798706055</v>
      </c>
      <c r="K80">
        <v>0.16140455007553101</v>
      </c>
      <c r="L80">
        <v>0.1073543652892113</v>
      </c>
      <c r="M80">
        <v>0.55974769592285156</v>
      </c>
      <c r="N80">
        <v>-0.52435141801834106</v>
      </c>
      <c r="O80">
        <v>-0.2011102885007858</v>
      </c>
      <c r="P80">
        <v>0.35975843667984009</v>
      </c>
      <c r="Q80">
        <v>0.32549256086349487</v>
      </c>
      <c r="R80">
        <v>2</v>
      </c>
      <c r="S80">
        <v>10</v>
      </c>
      <c r="T80" t="s">
        <v>253</v>
      </c>
      <c r="U80">
        <v>1.362286867186129</v>
      </c>
      <c r="V80">
        <v>0.93246912097783063</v>
      </c>
      <c r="W80">
        <v>94</v>
      </c>
      <c r="X80">
        <v>100</v>
      </c>
      <c r="Y80">
        <v>95.8</v>
      </c>
      <c r="Z80" t="s">
        <v>325</v>
      </c>
    </row>
    <row r="81" spans="1:26" x14ac:dyDescent="0.35">
      <c r="A81" t="s">
        <v>105</v>
      </c>
      <c r="B81">
        <v>2023</v>
      </c>
      <c r="C81">
        <v>7</v>
      </c>
      <c r="D81" t="s">
        <v>174</v>
      </c>
      <c r="E81">
        <v>4</v>
      </c>
      <c r="F81">
        <v>9.18</v>
      </c>
      <c r="G81">
        <v>0.2348015904426575</v>
      </c>
      <c r="H81">
        <v>0.24686828255653381</v>
      </c>
      <c r="I81">
        <v>0.24776856601238251</v>
      </c>
      <c r="J81">
        <v>0.36681726574897772</v>
      </c>
      <c r="K81">
        <v>0.32505330443382258</v>
      </c>
      <c r="L81">
        <v>0.29734081029891968</v>
      </c>
      <c r="M81">
        <v>0.19370557367801669</v>
      </c>
      <c r="N81">
        <v>-0.19545674324035639</v>
      </c>
      <c r="O81">
        <v>-4.4525638222694397E-2</v>
      </c>
      <c r="P81">
        <v>0.27244344353675842</v>
      </c>
      <c r="Q81">
        <v>0.16021470725536349</v>
      </c>
      <c r="R81">
        <v>2</v>
      </c>
      <c r="S81">
        <v>10</v>
      </c>
      <c r="T81" t="s">
        <v>254</v>
      </c>
      <c r="U81">
        <v>2.6373438333054331</v>
      </c>
      <c r="V81">
        <v>0.3249744620455578</v>
      </c>
      <c r="W81">
        <v>77</v>
      </c>
      <c r="X81">
        <v>100</v>
      </c>
      <c r="Y81">
        <v>83.9</v>
      </c>
      <c r="Z81" t="s">
        <v>326</v>
      </c>
    </row>
    <row r="82" spans="1:26" x14ac:dyDescent="0.35">
      <c r="A82" t="s">
        <v>106</v>
      </c>
      <c r="B82">
        <v>2023</v>
      </c>
      <c r="C82">
        <v>7</v>
      </c>
      <c r="D82" t="s">
        <v>174</v>
      </c>
      <c r="E82">
        <v>4</v>
      </c>
      <c r="F82">
        <v>8.35</v>
      </c>
      <c r="G82">
        <v>0.14945206046104431</v>
      </c>
      <c r="H82">
        <v>0.16210910677909851</v>
      </c>
      <c r="I82">
        <v>0.160149946808815</v>
      </c>
      <c r="J82">
        <v>0.30989238619804382</v>
      </c>
      <c r="K82">
        <v>0.26177150011062622</v>
      </c>
      <c r="L82">
        <v>0.22972127795219421</v>
      </c>
      <c r="M82">
        <v>0.31857222318649292</v>
      </c>
      <c r="N82">
        <v>-0.31309917569160461</v>
      </c>
      <c r="O82">
        <v>-6.5209954977035522E-2</v>
      </c>
      <c r="P82">
        <v>0.32555490732192988</v>
      </c>
      <c r="Q82">
        <v>0.2315503656864166</v>
      </c>
      <c r="R82">
        <v>2</v>
      </c>
      <c r="S82">
        <v>10</v>
      </c>
      <c r="T82" t="s">
        <v>255</v>
      </c>
      <c r="U82">
        <v>2.449646204897622</v>
      </c>
      <c r="V82">
        <v>0.4231042193217015</v>
      </c>
      <c r="W82">
        <v>79.099999999999994</v>
      </c>
      <c r="X82">
        <v>100</v>
      </c>
      <c r="Y82">
        <v>85.4</v>
      </c>
      <c r="Z82" t="s">
        <v>326</v>
      </c>
    </row>
    <row r="83" spans="1:26" x14ac:dyDescent="0.35">
      <c r="A83" t="s">
        <v>107</v>
      </c>
      <c r="B83">
        <v>2023</v>
      </c>
      <c r="C83">
        <v>8</v>
      </c>
      <c r="D83" t="s">
        <v>174</v>
      </c>
      <c r="E83">
        <v>4</v>
      </c>
      <c r="F83">
        <v>3.68</v>
      </c>
      <c r="G83">
        <v>4.1902307420969009E-2</v>
      </c>
      <c r="H83">
        <v>6.345636397600174E-2</v>
      </c>
      <c r="I83">
        <v>5.5822473019361503E-2</v>
      </c>
      <c r="J83">
        <v>0.24427814781665799</v>
      </c>
      <c r="K83">
        <v>0.15003709495067599</v>
      </c>
      <c r="L83">
        <v>8.9468814432621002E-2</v>
      </c>
      <c r="M83">
        <v>0.62797492742538452</v>
      </c>
      <c r="N83">
        <v>-0.58759015798568726</v>
      </c>
      <c r="O83">
        <v>-0.25288844108581537</v>
      </c>
      <c r="P83">
        <v>0.3724580705165863</v>
      </c>
      <c r="Q83">
        <v>0.35330992937088013</v>
      </c>
      <c r="R83">
        <v>2</v>
      </c>
      <c r="S83">
        <v>10</v>
      </c>
      <c r="T83" t="s">
        <v>256</v>
      </c>
      <c r="U83">
        <v>1.7353345574977039</v>
      </c>
      <c r="V83">
        <v>0.80741641226642258</v>
      </c>
      <c r="W83">
        <v>90.8</v>
      </c>
      <c r="X83">
        <v>100</v>
      </c>
      <c r="Y83">
        <v>93.6</v>
      </c>
      <c r="Z83" t="s">
        <v>325</v>
      </c>
    </row>
    <row r="84" spans="1:26" x14ac:dyDescent="0.35">
      <c r="A84" t="s">
        <v>108</v>
      </c>
      <c r="B84">
        <v>2023</v>
      </c>
      <c r="C84">
        <v>8</v>
      </c>
      <c r="D84" t="s">
        <v>174</v>
      </c>
      <c r="E84">
        <v>4</v>
      </c>
      <c r="F84">
        <v>0</v>
      </c>
      <c r="G84">
        <v>2.3485705256462101E-2</v>
      </c>
      <c r="H84">
        <v>4.5005533844232559E-2</v>
      </c>
      <c r="I84">
        <v>3.7680312991142273E-2</v>
      </c>
      <c r="J84">
        <v>0.22004906833171839</v>
      </c>
      <c r="K84">
        <v>0.13906675577163699</v>
      </c>
      <c r="L84">
        <v>7.4680745601654053E-2</v>
      </c>
      <c r="M84">
        <v>0.70759785175323486</v>
      </c>
      <c r="N84">
        <v>-0.66040557622909546</v>
      </c>
      <c r="O84">
        <v>-0.30122461915016169</v>
      </c>
      <c r="P84">
        <v>0.35899695754051208</v>
      </c>
      <c r="Q84">
        <v>0.3610168993473053</v>
      </c>
      <c r="R84">
        <v>2</v>
      </c>
      <c r="S84">
        <v>10</v>
      </c>
      <c r="T84" t="s">
        <v>257</v>
      </c>
      <c r="U84">
        <v>1.677151490752506</v>
      </c>
      <c r="V84">
        <v>0.83194447176557407</v>
      </c>
      <c r="W84">
        <v>100</v>
      </c>
      <c r="X84">
        <v>100</v>
      </c>
      <c r="Y84">
        <v>100</v>
      </c>
      <c r="Z84" t="s">
        <v>325</v>
      </c>
    </row>
    <row r="85" spans="1:26" x14ac:dyDescent="0.35">
      <c r="A85" t="s">
        <v>109</v>
      </c>
      <c r="B85">
        <v>2023</v>
      </c>
      <c r="C85">
        <v>8</v>
      </c>
      <c r="D85" t="s">
        <v>174</v>
      </c>
      <c r="E85">
        <v>4</v>
      </c>
      <c r="F85">
        <v>5.8</v>
      </c>
      <c r="G85">
        <v>3.8533821702003479E-2</v>
      </c>
      <c r="H85">
        <v>5.7445809245109558E-2</v>
      </c>
      <c r="I85">
        <v>4.9732163548469543E-2</v>
      </c>
      <c r="J85">
        <v>0.24156588315963751</v>
      </c>
      <c r="K85">
        <v>0.16408410668373111</v>
      </c>
      <c r="L85">
        <v>9.5611505210399628E-2</v>
      </c>
      <c r="M85">
        <v>0.65854793787002563</v>
      </c>
      <c r="N85">
        <v>-0.61576211452484131</v>
      </c>
      <c r="O85">
        <v>-0.2636648416519165</v>
      </c>
      <c r="P85">
        <v>0.38337451219558721</v>
      </c>
      <c r="Q85">
        <v>0.36364376544952393</v>
      </c>
      <c r="R85">
        <v>2</v>
      </c>
      <c r="S85">
        <v>10</v>
      </c>
      <c r="T85" t="s">
        <v>258</v>
      </c>
      <c r="U85">
        <v>1.853655319712447</v>
      </c>
      <c r="V85">
        <v>0.75245919428829644</v>
      </c>
      <c r="W85">
        <v>85.5</v>
      </c>
      <c r="X85">
        <v>100</v>
      </c>
      <c r="Y85">
        <v>89.8</v>
      </c>
      <c r="Z85" t="s">
        <v>326</v>
      </c>
    </row>
    <row r="86" spans="1:26" x14ac:dyDescent="0.35">
      <c r="A86" t="s">
        <v>110</v>
      </c>
      <c r="B86">
        <v>2023</v>
      </c>
      <c r="C86">
        <v>8</v>
      </c>
      <c r="D86" t="s">
        <v>174</v>
      </c>
      <c r="E86">
        <v>4</v>
      </c>
      <c r="F86">
        <v>9.27</v>
      </c>
      <c r="G86">
        <v>0.38990500569343572</v>
      </c>
      <c r="H86">
        <v>0.38747313618659968</v>
      </c>
      <c r="I86">
        <v>0.38812577724456793</v>
      </c>
      <c r="J86">
        <v>0.47415021061897278</v>
      </c>
      <c r="K86">
        <v>0.43646493554115301</v>
      </c>
      <c r="L86">
        <v>0.40743628144264221</v>
      </c>
      <c r="M86">
        <v>9.9764391779899597E-2</v>
      </c>
      <c r="N86">
        <v>-0.10059740394353869</v>
      </c>
      <c r="O86">
        <v>-3.4398164600133903E-2</v>
      </c>
      <c r="P86">
        <v>0.24477219581604001</v>
      </c>
      <c r="Q86">
        <v>9.4721376895904541E-2</v>
      </c>
      <c r="R86">
        <v>2</v>
      </c>
      <c r="S86">
        <v>10</v>
      </c>
      <c r="T86" t="s">
        <v>259</v>
      </c>
      <c r="U86">
        <v>2.4149199004936608</v>
      </c>
      <c r="V86">
        <v>0.44228908306151993</v>
      </c>
      <c r="W86">
        <v>76.8</v>
      </c>
      <c r="X86">
        <v>100</v>
      </c>
      <c r="Y86">
        <v>83.8</v>
      </c>
      <c r="Z86" t="s">
        <v>326</v>
      </c>
    </row>
    <row r="87" spans="1:26" x14ac:dyDescent="0.35">
      <c r="A87" t="s">
        <v>111</v>
      </c>
      <c r="B87">
        <v>2023</v>
      </c>
      <c r="C87">
        <v>8</v>
      </c>
      <c r="D87" t="s">
        <v>174</v>
      </c>
      <c r="E87">
        <v>4</v>
      </c>
      <c r="F87">
        <v>3.81</v>
      </c>
      <c r="G87">
        <v>5.4137509316205978E-2</v>
      </c>
      <c r="H87">
        <v>7.2285763919353485E-2</v>
      </c>
      <c r="I87">
        <v>6.511417031288147E-2</v>
      </c>
      <c r="J87">
        <v>0.24191206693649289</v>
      </c>
      <c r="K87">
        <v>0.16758030652999881</v>
      </c>
      <c r="L87">
        <v>0.1045740842819214</v>
      </c>
      <c r="M87">
        <v>0.57583969831466675</v>
      </c>
      <c r="N87">
        <v>-0.5398709774017334</v>
      </c>
      <c r="O87">
        <v>-0.23150911927223211</v>
      </c>
      <c r="P87">
        <v>0.36035144329071039</v>
      </c>
      <c r="Q87">
        <v>0.32860991358757019</v>
      </c>
      <c r="R87">
        <v>2</v>
      </c>
      <c r="S87">
        <v>10</v>
      </c>
      <c r="T87" t="s">
        <v>260</v>
      </c>
      <c r="U87">
        <v>1.0754159367406739</v>
      </c>
      <c r="V87">
        <v>0.9789778661355758</v>
      </c>
      <c r="W87">
        <v>90.5</v>
      </c>
      <c r="X87">
        <v>100</v>
      </c>
      <c r="Y87">
        <v>93.4</v>
      </c>
      <c r="Z87" t="s">
        <v>325</v>
      </c>
    </row>
    <row r="88" spans="1:26" x14ac:dyDescent="0.35">
      <c r="A88" t="s">
        <v>112</v>
      </c>
      <c r="B88">
        <v>2023</v>
      </c>
      <c r="C88">
        <v>8</v>
      </c>
      <c r="D88" t="s">
        <v>174</v>
      </c>
      <c r="E88">
        <v>4</v>
      </c>
      <c r="F88">
        <v>2.02</v>
      </c>
      <c r="G88">
        <v>3.1811695545911789E-2</v>
      </c>
      <c r="H88">
        <v>5.1162425428628922E-2</v>
      </c>
      <c r="I88">
        <v>4.3192882090806961E-2</v>
      </c>
      <c r="J88">
        <v>0.23017869889736181</v>
      </c>
      <c r="K88">
        <v>0.1437553018331528</v>
      </c>
      <c r="L88">
        <v>7.9591654241085052E-2</v>
      </c>
      <c r="M88">
        <v>0.68399876356124878</v>
      </c>
      <c r="N88">
        <v>-0.63629615306854248</v>
      </c>
      <c r="O88">
        <v>-0.28728240728378301</v>
      </c>
      <c r="P88">
        <v>0.37374791502952581</v>
      </c>
      <c r="Q88">
        <v>0.36267009377479548</v>
      </c>
      <c r="R88">
        <v>2</v>
      </c>
      <c r="S88">
        <v>10</v>
      </c>
      <c r="T88" t="s">
        <v>261</v>
      </c>
      <c r="U88">
        <v>1.6681371573404991</v>
      </c>
      <c r="V88">
        <v>0.83558646197820408</v>
      </c>
      <c r="W88">
        <v>95</v>
      </c>
      <c r="X88">
        <v>100</v>
      </c>
      <c r="Y88">
        <v>96.5</v>
      </c>
      <c r="Z88" t="s">
        <v>325</v>
      </c>
    </row>
    <row r="89" spans="1:26" x14ac:dyDescent="0.35">
      <c r="A89" t="s">
        <v>113</v>
      </c>
      <c r="B89">
        <v>2023</v>
      </c>
      <c r="C89">
        <v>8</v>
      </c>
      <c r="D89" t="s">
        <v>174</v>
      </c>
      <c r="E89">
        <v>4</v>
      </c>
      <c r="F89">
        <v>0.31</v>
      </c>
      <c r="G89">
        <v>3.1895805150270462E-2</v>
      </c>
      <c r="H89">
        <v>5.0803303718566888E-2</v>
      </c>
      <c r="I89">
        <v>4.292750358581543E-2</v>
      </c>
      <c r="J89">
        <v>0.23183415830135351</v>
      </c>
      <c r="K89">
        <v>0.15644429624080661</v>
      </c>
      <c r="L89">
        <v>8.8670000433921814E-2</v>
      </c>
      <c r="M89">
        <v>0.68752914667129517</v>
      </c>
      <c r="N89">
        <v>-0.64050549268722534</v>
      </c>
      <c r="O89">
        <v>-0.27650079131126398</v>
      </c>
      <c r="P89">
        <v>0.37775871157646179</v>
      </c>
      <c r="Q89">
        <v>0.36573824286460882</v>
      </c>
      <c r="R89">
        <v>2</v>
      </c>
      <c r="S89">
        <v>10</v>
      </c>
      <c r="T89" t="s">
        <v>262</v>
      </c>
      <c r="U89">
        <v>1.775926040138426</v>
      </c>
      <c r="V89">
        <v>0.78929599312245913</v>
      </c>
      <c r="W89">
        <v>99.2</v>
      </c>
      <c r="X89">
        <v>100</v>
      </c>
      <c r="Y89">
        <v>99.4</v>
      </c>
      <c r="Z89" t="s">
        <v>325</v>
      </c>
    </row>
    <row r="90" spans="1:26" x14ac:dyDescent="0.35">
      <c r="A90" t="s">
        <v>114</v>
      </c>
      <c r="B90">
        <v>2023</v>
      </c>
      <c r="C90">
        <v>9</v>
      </c>
      <c r="D90" t="s">
        <v>174</v>
      </c>
      <c r="E90">
        <v>4</v>
      </c>
      <c r="F90">
        <v>6.3</v>
      </c>
      <c r="G90">
        <v>3.2959148287773132E-2</v>
      </c>
      <c r="H90">
        <v>5.3057055920362473E-2</v>
      </c>
      <c r="I90">
        <v>4.523695632815361E-2</v>
      </c>
      <c r="J90">
        <v>0.24913974106311801</v>
      </c>
      <c r="K90">
        <v>0.17011310160160059</v>
      </c>
      <c r="L90">
        <v>9.9472470581531525E-2</v>
      </c>
      <c r="M90">
        <v>0.69265937805175781</v>
      </c>
      <c r="N90">
        <v>-0.64885759353637695</v>
      </c>
      <c r="O90">
        <v>-0.26203414797782898</v>
      </c>
      <c r="P90">
        <v>0.40032181143760681</v>
      </c>
      <c r="Q90">
        <v>0.38502407073974609</v>
      </c>
      <c r="R90">
        <v>2</v>
      </c>
      <c r="S90">
        <v>10</v>
      </c>
      <c r="T90" t="s">
        <v>263</v>
      </c>
      <c r="U90">
        <v>2.6469457516050792</v>
      </c>
      <c r="V90">
        <v>0.32026295691555018</v>
      </c>
      <c r="W90">
        <v>84.2</v>
      </c>
      <c r="X90">
        <v>100</v>
      </c>
      <c r="Y90">
        <v>88.9</v>
      </c>
      <c r="Z90" t="s">
        <v>326</v>
      </c>
    </row>
    <row r="91" spans="1:26" x14ac:dyDescent="0.35">
      <c r="A91" t="s">
        <v>115</v>
      </c>
      <c r="B91">
        <v>2024</v>
      </c>
      <c r="C91">
        <v>9</v>
      </c>
      <c r="D91" t="s">
        <v>171</v>
      </c>
      <c r="E91">
        <v>1</v>
      </c>
      <c r="F91">
        <v>12.36</v>
      </c>
      <c r="G91">
        <v>0.1285791993141174</v>
      </c>
      <c r="H91">
        <v>0.14136664569377899</v>
      </c>
      <c r="I91">
        <v>0.13315112888813019</v>
      </c>
      <c r="J91">
        <v>0.28378698229789728</v>
      </c>
      <c r="K91">
        <v>0.2281052768230438</v>
      </c>
      <c r="L91">
        <v>0.16096799075603491</v>
      </c>
      <c r="M91">
        <v>0.36129066348075872</v>
      </c>
      <c r="N91">
        <v>-0.33498558402061462</v>
      </c>
      <c r="O91">
        <v>-0.17255693674087519</v>
      </c>
      <c r="P91">
        <v>0.33673688769340521</v>
      </c>
      <c r="Q91">
        <v>0.24642205238342291</v>
      </c>
      <c r="R91">
        <v>2</v>
      </c>
      <c r="S91">
        <v>10</v>
      </c>
      <c r="T91" t="s">
        <v>264</v>
      </c>
      <c r="U91">
        <v>4.7393424273806524</v>
      </c>
      <c r="V91">
        <v>9.9848427861992661E-4</v>
      </c>
      <c r="W91">
        <v>69.099999999999994</v>
      </c>
      <c r="X91">
        <v>99.8</v>
      </c>
      <c r="Y91">
        <v>78.3</v>
      </c>
      <c r="Z91" t="s">
        <v>328</v>
      </c>
    </row>
    <row r="92" spans="1:26" x14ac:dyDescent="0.35">
      <c r="A92" t="s">
        <v>116</v>
      </c>
      <c r="B92">
        <v>2024</v>
      </c>
      <c r="C92">
        <v>9</v>
      </c>
      <c r="D92" t="s">
        <v>171</v>
      </c>
      <c r="E92">
        <v>1</v>
      </c>
      <c r="F92">
        <v>19.440000000000001</v>
      </c>
      <c r="G92">
        <v>3.9216000586748123E-2</v>
      </c>
      <c r="H92">
        <v>5.865107849240303E-2</v>
      </c>
      <c r="I92">
        <v>4.9807943403720863E-2</v>
      </c>
      <c r="J92">
        <v>0.24510097503662109</v>
      </c>
      <c r="K92">
        <v>0.1774652302265167</v>
      </c>
      <c r="L92">
        <v>0.1079462096095085</v>
      </c>
      <c r="M92">
        <v>0.66221475601196289</v>
      </c>
      <c r="N92">
        <v>-0.61382263898849487</v>
      </c>
      <c r="O92">
        <v>-0.24357473850250241</v>
      </c>
      <c r="P92">
        <v>0.39063963294029241</v>
      </c>
      <c r="Q92">
        <v>0.36851966381072998</v>
      </c>
      <c r="R92">
        <v>2</v>
      </c>
      <c r="S92">
        <v>10</v>
      </c>
      <c r="T92" t="s">
        <v>265</v>
      </c>
      <c r="U92">
        <v>2.427719121481454</v>
      </c>
      <c r="V92">
        <v>0.43518904517823292</v>
      </c>
      <c r="W92">
        <v>51.4</v>
      </c>
      <c r="X92">
        <v>100</v>
      </c>
      <c r="Y92">
        <v>66</v>
      </c>
      <c r="Z92" t="s">
        <v>327</v>
      </c>
    </row>
    <row r="93" spans="1:26" x14ac:dyDescent="0.35">
      <c r="A93" t="s">
        <v>117</v>
      </c>
      <c r="B93">
        <v>2024</v>
      </c>
      <c r="C93">
        <v>10</v>
      </c>
      <c r="D93" t="s">
        <v>171</v>
      </c>
      <c r="E93">
        <v>1</v>
      </c>
      <c r="F93">
        <v>0.15</v>
      </c>
      <c r="G93">
        <v>3.4289345145225518E-2</v>
      </c>
      <c r="H93">
        <v>5.3761076182126999E-2</v>
      </c>
      <c r="I93">
        <v>4.4996324926614761E-2</v>
      </c>
      <c r="J93">
        <v>0.22670260071754461</v>
      </c>
      <c r="K93">
        <v>0.158801794052124</v>
      </c>
      <c r="L93">
        <v>9.1524451971054077E-2</v>
      </c>
      <c r="M93">
        <v>0.66877806186676025</v>
      </c>
      <c r="N93">
        <v>-0.61662715673446655</v>
      </c>
      <c r="O93">
        <v>-0.26875865459442139</v>
      </c>
      <c r="P93">
        <v>0.36648797988891602</v>
      </c>
      <c r="Q93">
        <v>0.3531939685344696</v>
      </c>
      <c r="R93">
        <v>2</v>
      </c>
      <c r="S93">
        <v>10</v>
      </c>
      <c r="T93" t="s">
        <v>266</v>
      </c>
      <c r="U93">
        <v>3.2411706601764481</v>
      </c>
      <c r="V93">
        <v>0.1049269393803592</v>
      </c>
      <c r="W93">
        <v>99.6</v>
      </c>
      <c r="X93">
        <v>100</v>
      </c>
      <c r="Y93">
        <v>99.7</v>
      </c>
      <c r="Z93" t="s">
        <v>325</v>
      </c>
    </row>
    <row r="94" spans="1:26" x14ac:dyDescent="0.35">
      <c r="A94" t="s">
        <v>118</v>
      </c>
      <c r="B94">
        <v>2024</v>
      </c>
      <c r="C94">
        <v>10</v>
      </c>
      <c r="D94" t="s">
        <v>171</v>
      </c>
      <c r="E94">
        <v>1</v>
      </c>
      <c r="F94">
        <v>0.03</v>
      </c>
      <c r="G94">
        <v>3.1786080449819558E-2</v>
      </c>
      <c r="H94">
        <v>5.7287763804197311E-2</v>
      </c>
      <c r="I94">
        <v>4.906056821346283E-2</v>
      </c>
      <c r="J94">
        <v>0.26408004760742188</v>
      </c>
      <c r="K94">
        <v>0.17691707611083979</v>
      </c>
      <c r="L94">
        <v>0.1022368520498276</v>
      </c>
      <c r="M94">
        <v>0.68665468692779541</v>
      </c>
      <c r="N94">
        <v>-0.64347541332244873</v>
      </c>
      <c r="O94">
        <v>-0.26752343773841858</v>
      </c>
      <c r="P94">
        <v>0.40721908211708069</v>
      </c>
      <c r="Q94">
        <v>0.39664626121521002</v>
      </c>
      <c r="R94">
        <v>2</v>
      </c>
      <c r="S94">
        <v>10</v>
      </c>
      <c r="T94" t="s">
        <v>267</v>
      </c>
      <c r="U94">
        <v>1.512764286531636</v>
      </c>
      <c r="V94">
        <v>0.89135107439408767</v>
      </c>
      <c r="W94">
        <v>99.9</v>
      </c>
      <c r="X94">
        <v>100</v>
      </c>
      <c r="Y94">
        <v>99.9</v>
      </c>
      <c r="Z94" t="s">
        <v>325</v>
      </c>
    </row>
    <row r="95" spans="1:26" x14ac:dyDescent="0.35">
      <c r="A95" t="s">
        <v>119</v>
      </c>
      <c r="B95">
        <v>2024</v>
      </c>
      <c r="C95">
        <v>10</v>
      </c>
      <c r="D95" t="s">
        <v>171</v>
      </c>
      <c r="E95">
        <v>1</v>
      </c>
      <c r="F95">
        <v>5.07</v>
      </c>
      <c r="G95">
        <v>9.500943124294281E-2</v>
      </c>
      <c r="H95">
        <v>0.11354589462280271</v>
      </c>
      <c r="I95">
        <v>0.10747725516557689</v>
      </c>
      <c r="J95">
        <v>0.28290364146232599</v>
      </c>
      <c r="K95">
        <v>0.21589760482311249</v>
      </c>
      <c r="L95">
        <v>0.14349231123924261</v>
      </c>
      <c r="M95">
        <v>0.44937238097190862</v>
      </c>
      <c r="N95">
        <v>-0.42718613147735601</v>
      </c>
      <c r="O95">
        <v>-0.20146724581718439</v>
      </c>
      <c r="P95">
        <v>0.36090132594108582</v>
      </c>
      <c r="Q95">
        <v>0.29553598165512079</v>
      </c>
      <c r="R95">
        <v>2</v>
      </c>
      <c r="S95">
        <v>10</v>
      </c>
      <c r="T95" t="s">
        <v>268</v>
      </c>
      <c r="U95">
        <v>2.5466532395538231</v>
      </c>
      <c r="V95">
        <v>0.37105924674459101</v>
      </c>
      <c r="W95">
        <v>87.3</v>
      </c>
      <c r="X95">
        <v>100</v>
      </c>
      <c r="Y95">
        <v>91.1</v>
      </c>
      <c r="Z95" t="s">
        <v>325</v>
      </c>
    </row>
    <row r="96" spans="1:26" x14ac:dyDescent="0.35">
      <c r="A96" t="s">
        <v>120</v>
      </c>
      <c r="B96">
        <v>2024</v>
      </c>
      <c r="C96">
        <v>10</v>
      </c>
      <c r="D96" t="s">
        <v>171</v>
      </c>
      <c r="E96">
        <v>1</v>
      </c>
      <c r="F96">
        <v>18.59</v>
      </c>
      <c r="G96">
        <v>8.1966310739517212E-2</v>
      </c>
      <c r="H96">
        <v>0.10118187218904499</v>
      </c>
      <c r="I96">
        <v>9.5460884273052216E-2</v>
      </c>
      <c r="J96">
        <v>0.29637986421585077</v>
      </c>
      <c r="K96">
        <v>0.22314922511577609</v>
      </c>
      <c r="L96">
        <v>0.1512467563152313</v>
      </c>
      <c r="M96">
        <v>0.51275670528411865</v>
      </c>
      <c r="N96">
        <v>-0.49098789691925049</v>
      </c>
      <c r="O96">
        <v>-0.19204926490783689</v>
      </c>
      <c r="P96">
        <v>0.40042909979820251</v>
      </c>
      <c r="Q96">
        <v>0.33792856335639948</v>
      </c>
      <c r="R96">
        <v>2</v>
      </c>
      <c r="S96">
        <v>10</v>
      </c>
      <c r="T96" t="s">
        <v>269</v>
      </c>
      <c r="U96">
        <v>2.4014917677783818</v>
      </c>
      <c r="V96">
        <v>0.44977167766514542</v>
      </c>
      <c r="W96">
        <v>53.5</v>
      </c>
      <c r="X96">
        <v>100</v>
      </c>
      <c r="Y96">
        <v>67.400000000000006</v>
      </c>
      <c r="Z96" t="s">
        <v>327</v>
      </c>
    </row>
    <row r="97" spans="1:26" x14ac:dyDescent="0.35">
      <c r="A97" t="s">
        <v>121</v>
      </c>
      <c r="B97">
        <v>2024</v>
      </c>
      <c r="C97">
        <v>11</v>
      </c>
      <c r="D97" t="s">
        <v>171</v>
      </c>
      <c r="E97">
        <v>1</v>
      </c>
      <c r="F97">
        <v>0</v>
      </c>
      <c r="G97">
        <v>3.3561337739229202E-2</v>
      </c>
      <c r="H97">
        <v>5.8412034064531333E-2</v>
      </c>
      <c r="I97">
        <v>5.4708320647478097E-2</v>
      </c>
      <c r="J97">
        <v>0.25835850834846502</v>
      </c>
      <c r="K97">
        <v>0.1750116944313049</v>
      </c>
      <c r="L97">
        <v>0.10264658182859419</v>
      </c>
      <c r="M97">
        <v>0.65050065517425537</v>
      </c>
      <c r="N97">
        <v>-0.63120287656784058</v>
      </c>
      <c r="O97">
        <v>-0.26062652468681341</v>
      </c>
      <c r="P97">
        <v>0.38139644265174871</v>
      </c>
      <c r="Q97">
        <v>0.3757074773311615</v>
      </c>
      <c r="R97">
        <v>2</v>
      </c>
      <c r="S97">
        <v>10</v>
      </c>
      <c r="T97" t="s">
        <v>270</v>
      </c>
      <c r="U97">
        <v>1.3655209676766209</v>
      </c>
      <c r="V97">
        <v>0.93171639300752518</v>
      </c>
      <c r="W97">
        <v>100</v>
      </c>
      <c r="X97">
        <v>100</v>
      </c>
      <c r="Y97">
        <v>100</v>
      </c>
      <c r="Z97" t="s">
        <v>325</v>
      </c>
    </row>
    <row r="98" spans="1:26" x14ac:dyDescent="0.35">
      <c r="A98" t="s">
        <v>122</v>
      </c>
      <c r="B98">
        <v>2024</v>
      </c>
      <c r="C98">
        <v>12</v>
      </c>
      <c r="D98" t="s">
        <v>171</v>
      </c>
      <c r="E98">
        <v>1</v>
      </c>
      <c r="F98">
        <v>2.5099999999999998</v>
      </c>
      <c r="G98">
        <v>7.4083976447582245E-2</v>
      </c>
      <c r="H98">
        <v>9.5245517790317535E-2</v>
      </c>
      <c r="I98">
        <v>8.1423670053482056E-2</v>
      </c>
      <c r="J98">
        <v>0.32578203082084661</v>
      </c>
      <c r="K98">
        <v>0.1888278126716614</v>
      </c>
      <c r="L98">
        <v>0.11557745188474659</v>
      </c>
      <c r="M98">
        <v>0.6000857949256897</v>
      </c>
      <c r="N98">
        <v>-0.54755687713623047</v>
      </c>
      <c r="O98">
        <v>-0.24063433706760409</v>
      </c>
      <c r="P98">
        <v>0.48534101247787481</v>
      </c>
      <c r="Q98">
        <v>0.40402913093566889</v>
      </c>
      <c r="R98">
        <v>2</v>
      </c>
      <c r="S98">
        <v>10</v>
      </c>
      <c r="T98" t="s">
        <v>271</v>
      </c>
      <c r="U98">
        <v>3.9884518478676712</v>
      </c>
      <c r="V98">
        <v>1.4257779297056411E-2</v>
      </c>
      <c r="W98">
        <v>93.7</v>
      </c>
      <c r="X98">
        <v>100</v>
      </c>
      <c r="Y98">
        <v>95.6</v>
      </c>
      <c r="Z98" t="s">
        <v>325</v>
      </c>
    </row>
    <row r="99" spans="1:26" x14ac:dyDescent="0.35">
      <c r="A99" t="s">
        <v>123</v>
      </c>
      <c r="B99">
        <v>2024</v>
      </c>
      <c r="C99">
        <v>12</v>
      </c>
      <c r="D99" t="s">
        <v>172</v>
      </c>
      <c r="E99">
        <v>2</v>
      </c>
      <c r="F99">
        <v>0.93</v>
      </c>
      <c r="G99">
        <v>2.6128038763999939E-2</v>
      </c>
      <c r="H99">
        <v>5.1899734884500497E-2</v>
      </c>
      <c r="I99">
        <v>3.5906985402107239E-2</v>
      </c>
      <c r="J99">
        <v>0.32867130637168879</v>
      </c>
      <c r="K99">
        <v>0.16815012693405151</v>
      </c>
      <c r="L99">
        <v>8.4283158183097839E-2</v>
      </c>
      <c r="M99">
        <v>0.80302172899246216</v>
      </c>
      <c r="N99">
        <v>-0.72725337743759155</v>
      </c>
      <c r="O99">
        <v>-0.33223417401313782</v>
      </c>
      <c r="P99">
        <v>0.54289889335632324</v>
      </c>
      <c r="Q99">
        <v>0.5079314112663269</v>
      </c>
      <c r="R99">
        <v>2</v>
      </c>
      <c r="S99">
        <v>10</v>
      </c>
      <c r="T99" t="s">
        <v>272</v>
      </c>
      <c r="U99">
        <v>1.280562136272883</v>
      </c>
      <c r="V99">
        <v>0.5</v>
      </c>
      <c r="W99">
        <v>97.7</v>
      </c>
      <c r="X99">
        <v>100</v>
      </c>
      <c r="Y99">
        <v>98.4</v>
      </c>
      <c r="Z99" t="s">
        <v>325</v>
      </c>
    </row>
    <row r="100" spans="1:26" x14ac:dyDescent="0.35">
      <c r="A100" t="s">
        <v>124</v>
      </c>
      <c r="B100">
        <v>2024</v>
      </c>
      <c r="C100">
        <v>3</v>
      </c>
      <c r="D100" t="s">
        <v>173</v>
      </c>
      <c r="E100">
        <v>3</v>
      </c>
      <c r="F100">
        <v>0.98</v>
      </c>
      <c r="G100">
        <v>3.7206020206212997E-2</v>
      </c>
      <c r="H100">
        <v>5.4360911250114441E-2</v>
      </c>
      <c r="I100">
        <v>5.0300665199756622E-2</v>
      </c>
      <c r="J100">
        <v>0.23941557109355929</v>
      </c>
      <c r="K100">
        <v>0.17362439632415769</v>
      </c>
      <c r="L100">
        <v>0.1013081446290016</v>
      </c>
      <c r="M100">
        <v>0.65275901556015015</v>
      </c>
      <c r="N100">
        <v>-0.62991654872894287</v>
      </c>
      <c r="O100">
        <v>-0.2630327045917511</v>
      </c>
      <c r="P100">
        <v>0.37458154559135443</v>
      </c>
      <c r="Q100">
        <v>0.35920792818069458</v>
      </c>
      <c r="R100">
        <v>2</v>
      </c>
      <c r="S100">
        <v>10</v>
      </c>
      <c r="T100" t="s">
        <v>273</v>
      </c>
      <c r="U100">
        <v>1.2243580964110621</v>
      </c>
      <c r="V100">
        <v>0.95955745808110005</v>
      </c>
      <c r="W100">
        <v>97.6</v>
      </c>
      <c r="X100">
        <v>100</v>
      </c>
      <c r="Y100">
        <v>98.3</v>
      </c>
      <c r="Z100" t="s">
        <v>325</v>
      </c>
    </row>
    <row r="101" spans="1:26" x14ac:dyDescent="0.35">
      <c r="A101" t="s">
        <v>124</v>
      </c>
      <c r="B101">
        <v>2024</v>
      </c>
      <c r="C101">
        <v>3</v>
      </c>
      <c r="D101" t="s">
        <v>173</v>
      </c>
      <c r="E101">
        <v>3</v>
      </c>
      <c r="F101">
        <v>4.7699999999999996</v>
      </c>
      <c r="G101">
        <v>3.7206020206212997E-2</v>
      </c>
      <c r="H101">
        <v>5.4360911250114441E-2</v>
      </c>
      <c r="I101">
        <v>5.0300665199756622E-2</v>
      </c>
      <c r="J101">
        <v>0.23941557109355929</v>
      </c>
      <c r="K101">
        <v>0.17362439632415769</v>
      </c>
      <c r="L101">
        <v>0.1013081446290016</v>
      </c>
      <c r="M101">
        <v>0.65275901556015015</v>
      </c>
      <c r="N101">
        <v>-0.62991654872894287</v>
      </c>
      <c r="O101">
        <v>-0.2630327045917511</v>
      </c>
      <c r="P101">
        <v>0.37458154559135443</v>
      </c>
      <c r="Q101">
        <v>0.35920792818069458</v>
      </c>
      <c r="R101">
        <v>2</v>
      </c>
      <c r="S101">
        <v>10</v>
      </c>
      <c r="T101" t="s">
        <v>274</v>
      </c>
      <c r="U101">
        <v>1.2243580964110621</v>
      </c>
      <c r="V101">
        <v>0.95955745808110005</v>
      </c>
      <c r="W101">
        <v>88.1</v>
      </c>
      <c r="X101">
        <v>100</v>
      </c>
      <c r="Y101">
        <v>91.7</v>
      </c>
      <c r="Z101" t="s">
        <v>325</v>
      </c>
    </row>
    <row r="102" spans="1:26" x14ac:dyDescent="0.35">
      <c r="A102" t="s">
        <v>125</v>
      </c>
      <c r="B102">
        <v>2024</v>
      </c>
      <c r="C102">
        <v>4</v>
      </c>
      <c r="D102" t="s">
        <v>173</v>
      </c>
      <c r="E102">
        <v>3</v>
      </c>
      <c r="F102">
        <v>9.94</v>
      </c>
      <c r="G102">
        <v>0.28754326701164251</v>
      </c>
      <c r="H102">
        <v>0.28472825884819031</v>
      </c>
      <c r="I102">
        <v>0.28432601690292358</v>
      </c>
      <c r="J102">
        <v>0.38133662939071661</v>
      </c>
      <c r="K102">
        <v>0.36754849553108221</v>
      </c>
      <c r="L102">
        <v>0.34318169951438898</v>
      </c>
      <c r="M102">
        <v>0.14573539793491361</v>
      </c>
      <c r="N102">
        <v>-0.14504349231719971</v>
      </c>
      <c r="O102">
        <v>-3.4284170717000961E-2</v>
      </c>
      <c r="P102">
        <v>0.26057997345924377</v>
      </c>
      <c r="Q102">
        <v>0.12483535706996921</v>
      </c>
      <c r="R102">
        <v>2</v>
      </c>
      <c r="S102">
        <v>10</v>
      </c>
      <c r="T102" t="s">
        <v>275</v>
      </c>
      <c r="U102">
        <v>3.1617623664191732</v>
      </c>
      <c r="V102">
        <v>0.12478931911781339</v>
      </c>
      <c r="W102">
        <v>75.2</v>
      </c>
      <c r="X102">
        <v>100</v>
      </c>
      <c r="Y102">
        <v>82.6</v>
      </c>
      <c r="Z102" t="s">
        <v>326</v>
      </c>
    </row>
    <row r="103" spans="1:26" x14ac:dyDescent="0.35">
      <c r="A103" t="s">
        <v>126</v>
      </c>
      <c r="B103">
        <v>2024</v>
      </c>
      <c r="C103">
        <v>4</v>
      </c>
      <c r="D103" t="s">
        <v>173</v>
      </c>
      <c r="E103">
        <v>3</v>
      </c>
      <c r="F103">
        <v>0</v>
      </c>
      <c r="G103">
        <v>2.6822926476597789E-2</v>
      </c>
      <c r="H103">
        <v>4.7807153314352042E-2</v>
      </c>
      <c r="I103">
        <v>4.7470629215240479E-2</v>
      </c>
      <c r="J103">
        <v>0.23280829191207891</v>
      </c>
      <c r="K103">
        <v>0.16679371893405909</v>
      </c>
      <c r="L103">
        <v>9.8038762807846069E-2</v>
      </c>
      <c r="M103">
        <v>0.66126149892807007</v>
      </c>
      <c r="N103">
        <v>-0.65926927328109741</v>
      </c>
      <c r="O103">
        <v>-0.25961676239967352</v>
      </c>
      <c r="P103">
        <v>0.35196214914321899</v>
      </c>
      <c r="Q103">
        <v>0.35629117488861078</v>
      </c>
      <c r="R103">
        <v>2</v>
      </c>
      <c r="S103">
        <v>10</v>
      </c>
      <c r="T103" t="s">
        <v>276</v>
      </c>
      <c r="U103">
        <v>2.4423856953174519</v>
      </c>
      <c r="V103">
        <v>0.42709429650179281</v>
      </c>
      <c r="W103">
        <v>100</v>
      </c>
      <c r="X103">
        <v>100</v>
      </c>
      <c r="Y103">
        <v>100</v>
      </c>
      <c r="Z103" t="s">
        <v>325</v>
      </c>
    </row>
    <row r="104" spans="1:26" x14ac:dyDescent="0.35">
      <c r="A104" t="s">
        <v>127</v>
      </c>
      <c r="B104">
        <v>2024</v>
      </c>
      <c r="C104">
        <v>4</v>
      </c>
      <c r="D104" t="s">
        <v>173</v>
      </c>
      <c r="E104">
        <v>3</v>
      </c>
      <c r="F104">
        <v>0</v>
      </c>
      <c r="G104">
        <v>2.3263979703187939E-2</v>
      </c>
      <c r="H104">
        <v>4.4513650238513947E-2</v>
      </c>
      <c r="I104">
        <v>4.4975198805332177E-2</v>
      </c>
      <c r="J104">
        <v>0.22385986149311071</v>
      </c>
      <c r="K104">
        <v>0.1591480225324631</v>
      </c>
      <c r="L104">
        <v>9.3425631523132324E-2</v>
      </c>
      <c r="M104">
        <v>0.66540670394897461</v>
      </c>
      <c r="N104">
        <v>-0.66827088594436646</v>
      </c>
      <c r="O104">
        <v>-0.260210782289505</v>
      </c>
      <c r="P104">
        <v>0.33899411559104919</v>
      </c>
      <c r="Q104">
        <v>0.34900462627410889</v>
      </c>
      <c r="R104">
        <v>2</v>
      </c>
      <c r="S104">
        <v>10</v>
      </c>
      <c r="T104" t="s">
        <v>277</v>
      </c>
      <c r="U104">
        <v>2.8476242459342078</v>
      </c>
      <c r="V104">
        <v>0.2302285673780855</v>
      </c>
      <c r="W104">
        <v>100</v>
      </c>
      <c r="X104">
        <v>100</v>
      </c>
      <c r="Y104">
        <v>100</v>
      </c>
      <c r="Z104" t="s">
        <v>325</v>
      </c>
    </row>
    <row r="105" spans="1:26" x14ac:dyDescent="0.35">
      <c r="A105" t="s">
        <v>128</v>
      </c>
      <c r="B105">
        <v>2024</v>
      </c>
      <c r="C105">
        <v>5</v>
      </c>
      <c r="D105" t="s">
        <v>173</v>
      </c>
      <c r="E105">
        <v>3</v>
      </c>
      <c r="F105">
        <v>0</v>
      </c>
      <c r="G105">
        <v>2.7863172814249989E-2</v>
      </c>
      <c r="H105">
        <v>4.5331526547670357E-2</v>
      </c>
      <c r="I105">
        <v>4.1225641965866089E-2</v>
      </c>
      <c r="J105">
        <v>0.2198898792266846</v>
      </c>
      <c r="K105">
        <v>0.1491495072841644</v>
      </c>
      <c r="L105">
        <v>8.274773508310318E-2</v>
      </c>
      <c r="M105">
        <v>0.68423444032669067</v>
      </c>
      <c r="N105">
        <v>-0.65816086530685425</v>
      </c>
      <c r="O105">
        <v>-0.28634136915206909</v>
      </c>
      <c r="P105">
        <v>0.35497996211051941</v>
      </c>
      <c r="Q105">
        <v>0.35210993885993958</v>
      </c>
      <c r="R105">
        <v>2</v>
      </c>
      <c r="S105">
        <v>10</v>
      </c>
      <c r="T105" t="s">
        <v>278</v>
      </c>
      <c r="U105">
        <v>1.3479154773001589</v>
      </c>
      <c r="V105">
        <v>0.93574649905725416</v>
      </c>
      <c r="W105">
        <v>100</v>
      </c>
      <c r="X105">
        <v>100</v>
      </c>
      <c r="Y105">
        <v>100</v>
      </c>
      <c r="Z105" t="s">
        <v>325</v>
      </c>
    </row>
    <row r="106" spans="1:26" x14ac:dyDescent="0.35">
      <c r="A106" t="s">
        <v>129</v>
      </c>
      <c r="B106">
        <v>2024</v>
      </c>
      <c r="C106">
        <v>6</v>
      </c>
      <c r="D106" t="s">
        <v>173</v>
      </c>
      <c r="E106">
        <v>3</v>
      </c>
      <c r="F106">
        <v>9.67</v>
      </c>
      <c r="G106">
        <v>0.1237080916762352</v>
      </c>
      <c r="H106">
        <v>0.13758355379104609</v>
      </c>
      <c r="I106">
        <v>0.13472725450992579</v>
      </c>
      <c r="J106">
        <v>0.30348184704780579</v>
      </c>
      <c r="K106">
        <v>0.2418182045221329</v>
      </c>
      <c r="L106">
        <v>0.1964731961488724</v>
      </c>
      <c r="M106">
        <v>0.3851006031036377</v>
      </c>
      <c r="N106">
        <v>-0.37613081932067871</v>
      </c>
      <c r="O106">
        <v>-0.10345858335495001</v>
      </c>
      <c r="P106">
        <v>0.35631257295608521</v>
      </c>
      <c r="Q106">
        <v>0.26980328559875488</v>
      </c>
      <c r="R106">
        <v>2</v>
      </c>
      <c r="S106">
        <v>10</v>
      </c>
      <c r="T106" t="s">
        <v>279</v>
      </c>
      <c r="U106">
        <v>2.5267263400345308</v>
      </c>
      <c r="V106">
        <v>0.3815396520559261</v>
      </c>
      <c r="W106">
        <v>75.8</v>
      </c>
      <c r="X106">
        <v>100</v>
      </c>
      <c r="Y106">
        <v>83.1</v>
      </c>
      <c r="Z106" t="s">
        <v>326</v>
      </c>
    </row>
    <row r="107" spans="1:26" x14ac:dyDescent="0.35">
      <c r="A107" t="s">
        <v>130</v>
      </c>
      <c r="B107">
        <v>2024</v>
      </c>
      <c r="C107">
        <v>6</v>
      </c>
      <c r="D107" t="s">
        <v>173</v>
      </c>
      <c r="E107">
        <v>3</v>
      </c>
      <c r="F107">
        <v>2.66</v>
      </c>
      <c r="G107">
        <v>2.5422262027859691E-2</v>
      </c>
      <c r="H107">
        <v>4.5939452946186073E-2</v>
      </c>
      <c r="I107">
        <v>3.8240015506744378E-2</v>
      </c>
      <c r="J107">
        <v>0.2263346463441849</v>
      </c>
      <c r="K107">
        <v>0.13664354383945471</v>
      </c>
      <c r="L107">
        <v>7.2977118194103241E-2</v>
      </c>
      <c r="M107">
        <v>0.71093219518661499</v>
      </c>
      <c r="N107">
        <v>-0.66254991292953491</v>
      </c>
      <c r="O107">
        <v>-0.30372211337089539</v>
      </c>
      <c r="P107">
        <v>0.37169688940048218</v>
      </c>
      <c r="Q107">
        <v>0.36901819705963129</v>
      </c>
      <c r="R107">
        <v>2</v>
      </c>
      <c r="S107">
        <v>10</v>
      </c>
      <c r="T107" t="s">
        <v>280</v>
      </c>
      <c r="U107">
        <v>1.7458668955957271</v>
      </c>
      <c r="V107">
        <v>0.8027921884971212</v>
      </c>
      <c r="W107">
        <v>93.4</v>
      </c>
      <c r="X107">
        <v>100</v>
      </c>
      <c r="Y107">
        <v>95.4</v>
      </c>
      <c r="Z107" t="s">
        <v>325</v>
      </c>
    </row>
    <row r="108" spans="1:26" x14ac:dyDescent="0.35">
      <c r="A108" t="s">
        <v>131</v>
      </c>
      <c r="B108">
        <v>2024</v>
      </c>
      <c r="C108">
        <v>6</v>
      </c>
      <c r="D108" t="s">
        <v>173</v>
      </c>
      <c r="E108">
        <v>3</v>
      </c>
      <c r="F108">
        <v>6.6</v>
      </c>
      <c r="G108">
        <v>0.34635499119758612</v>
      </c>
      <c r="H108">
        <v>0.35295245051383972</v>
      </c>
      <c r="I108">
        <v>0.35852071642875671</v>
      </c>
      <c r="J108">
        <v>0.45248100161552429</v>
      </c>
      <c r="K108">
        <v>0.42684158682823181</v>
      </c>
      <c r="L108">
        <v>0.40262848138809199</v>
      </c>
      <c r="M108">
        <v>0.1158570721745491</v>
      </c>
      <c r="N108">
        <v>-0.1235714182257652</v>
      </c>
      <c r="O108">
        <v>-2.9191054403781891E-2</v>
      </c>
      <c r="P108">
        <v>0.23351298272609711</v>
      </c>
      <c r="Q108">
        <v>0.10750590264797211</v>
      </c>
      <c r="R108">
        <v>2</v>
      </c>
      <c r="S108">
        <v>10</v>
      </c>
      <c r="T108" t="s">
        <v>281</v>
      </c>
      <c r="U108">
        <v>4.1798443813754931</v>
      </c>
      <c r="V108">
        <v>7.6992438302746491E-3</v>
      </c>
      <c r="W108">
        <v>83.5</v>
      </c>
      <c r="X108">
        <v>100</v>
      </c>
      <c r="Y108">
        <v>88.4</v>
      </c>
      <c r="Z108" t="s">
        <v>326</v>
      </c>
    </row>
    <row r="109" spans="1:26" x14ac:dyDescent="0.35">
      <c r="A109" t="s">
        <v>132</v>
      </c>
      <c r="B109">
        <v>2024</v>
      </c>
      <c r="C109">
        <v>6</v>
      </c>
      <c r="D109" t="s">
        <v>174</v>
      </c>
      <c r="E109">
        <v>4</v>
      </c>
      <c r="F109">
        <v>2.63</v>
      </c>
      <c r="G109">
        <v>8.4218479692935944E-2</v>
      </c>
      <c r="H109">
        <v>9.9631451070308685E-2</v>
      </c>
      <c r="I109">
        <v>9.618985652923584E-2</v>
      </c>
      <c r="J109">
        <v>0.25563034415245062</v>
      </c>
      <c r="K109">
        <v>0.19242411851882929</v>
      </c>
      <c r="L109">
        <v>0.14517050981521609</v>
      </c>
      <c r="M109">
        <v>0.45318740606307978</v>
      </c>
      <c r="N109">
        <v>-0.43910965323448181</v>
      </c>
      <c r="O109">
        <v>-0.13997144997119901</v>
      </c>
      <c r="P109">
        <v>0.33185493946075439</v>
      </c>
      <c r="Q109">
        <v>0.28076431155204767</v>
      </c>
      <c r="R109">
        <v>2</v>
      </c>
      <c r="S109">
        <v>10</v>
      </c>
      <c r="T109" t="s">
        <v>282</v>
      </c>
      <c r="U109">
        <v>1.588171708591442</v>
      </c>
      <c r="V109">
        <v>0.86596483636543331</v>
      </c>
      <c r="W109">
        <v>93.4</v>
      </c>
      <c r="X109">
        <v>100</v>
      </c>
      <c r="Y109">
        <v>95.4</v>
      </c>
      <c r="Z109" t="s">
        <v>325</v>
      </c>
    </row>
    <row r="110" spans="1:26" x14ac:dyDescent="0.35">
      <c r="A110" t="s">
        <v>133</v>
      </c>
      <c r="B110">
        <v>2024</v>
      </c>
      <c r="C110">
        <v>6</v>
      </c>
      <c r="D110" t="s">
        <v>174</v>
      </c>
      <c r="E110">
        <v>4</v>
      </c>
      <c r="F110">
        <v>0</v>
      </c>
      <c r="G110">
        <v>1.8143037334084511E-2</v>
      </c>
      <c r="H110">
        <v>4.1156098246574402E-2</v>
      </c>
      <c r="I110">
        <v>3.591499850153923E-2</v>
      </c>
      <c r="J110">
        <v>0.22404301166534421</v>
      </c>
      <c r="K110">
        <v>0.13361950218677521</v>
      </c>
      <c r="L110">
        <v>7.1469992399215698E-2</v>
      </c>
      <c r="M110">
        <v>0.72368615865707397</v>
      </c>
      <c r="N110">
        <v>-0.68962109088897705</v>
      </c>
      <c r="O110">
        <v>-0.30303603410720831</v>
      </c>
      <c r="P110">
        <v>0.36082419753074652</v>
      </c>
      <c r="Q110">
        <v>0.3713257908821106</v>
      </c>
      <c r="R110">
        <v>2</v>
      </c>
      <c r="S110">
        <v>10</v>
      </c>
      <c r="T110" t="s">
        <v>283</v>
      </c>
      <c r="U110">
        <v>1.4369893930811639</v>
      </c>
      <c r="V110">
        <v>0.91363031487162205</v>
      </c>
      <c r="W110">
        <v>100</v>
      </c>
      <c r="X110">
        <v>100</v>
      </c>
      <c r="Y110">
        <v>100</v>
      </c>
      <c r="Z110" t="s">
        <v>325</v>
      </c>
    </row>
    <row r="111" spans="1:26" x14ac:dyDescent="0.35">
      <c r="A111" t="s">
        <v>134</v>
      </c>
      <c r="B111">
        <v>2024</v>
      </c>
      <c r="C111">
        <v>6</v>
      </c>
      <c r="D111" t="s">
        <v>174</v>
      </c>
      <c r="E111">
        <v>4</v>
      </c>
      <c r="F111">
        <v>0</v>
      </c>
      <c r="G111">
        <v>1.619599387049675E-2</v>
      </c>
      <c r="H111">
        <v>3.7732001394033432E-2</v>
      </c>
      <c r="I111">
        <v>3.5383675247430801E-2</v>
      </c>
      <c r="J111">
        <v>0.21241576969623571</v>
      </c>
      <c r="K111">
        <v>0.1311667412519455</v>
      </c>
      <c r="L111">
        <v>7.2692245244979858E-2</v>
      </c>
      <c r="M111">
        <v>0.71441686153411865</v>
      </c>
      <c r="N111">
        <v>-0.69832229614257813</v>
      </c>
      <c r="O111">
        <v>-0.28683796525001531</v>
      </c>
      <c r="P111">
        <v>0.33959788084030151</v>
      </c>
      <c r="Q111">
        <v>0.35510611534118652</v>
      </c>
      <c r="R111">
        <v>2</v>
      </c>
      <c r="S111">
        <v>10</v>
      </c>
      <c r="T111" t="s">
        <v>284</v>
      </c>
      <c r="U111">
        <v>1.8732933246615251</v>
      </c>
      <c r="V111">
        <v>0.74274156397433921</v>
      </c>
      <c r="W111">
        <v>100</v>
      </c>
      <c r="X111">
        <v>100</v>
      </c>
      <c r="Y111">
        <v>100</v>
      </c>
      <c r="Z111" t="s">
        <v>325</v>
      </c>
    </row>
    <row r="112" spans="1:26" x14ac:dyDescent="0.35">
      <c r="A112" t="s">
        <v>135</v>
      </c>
      <c r="B112">
        <v>2024</v>
      </c>
      <c r="C112">
        <v>7</v>
      </c>
      <c r="D112" t="s">
        <v>174</v>
      </c>
      <c r="E112">
        <v>4</v>
      </c>
      <c r="F112">
        <v>0.25</v>
      </c>
      <c r="G112">
        <v>2.6818247511982921E-2</v>
      </c>
      <c r="H112">
        <v>4.3535899370908737E-2</v>
      </c>
      <c r="I112">
        <v>3.9840813726186752E-2</v>
      </c>
      <c r="J112">
        <v>0.2194655239582062</v>
      </c>
      <c r="K112">
        <v>0.13962842524051669</v>
      </c>
      <c r="L112">
        <v>8.0346226692199707E-2</v>
      </c>
      <c r="M112">
        <v>0.69271236658096313</v>
      </c>
      <c r="N112">
        <v>-0.66893035173416138</v>
      </c>
      <c r="O112">
        <v>-0.26949557662010187</v>
      </c>
      <c r="P112">
        <v>0.35714268684387213</v>
      </c>
      <c r="Q112">
        <v>0.35484632849693298</v>
      </c>
      <c r="R112">
        <v>2</v>
      </c>
      <c r="S112">
        <v>10</v>
      </c>
      <c r="T112" t="s">
        <v>285</v>
      </c>
      <c r="U112">
        <v>1.7895578181776191</v>
      </c>
      <c r="V112">
        <v>0.78303318379470266</v>
      </c>
      <c r="W112">
        <v>99.4</v>
      </c>
      <c r="X112">
        <v>100</v>
      </c>
      <c r="Y112">
        <v>99.6</v>
      </c>
      <c r="Z112" t="s">
        <v>325</v>
      </c>
    </row>
    <row r="113" spans="1:26" x14ac:dyDescent="0.35">
      <c r="A113" t="s">
        <v>136</v>
      </c>
      <c r="B113">
        <v>2024</v>
      </c>
      <c r="C113">
        <v>7</v>
      </c>
      <c r="D113" t="s">
        <v>174</v>
      </c>
      <c r="E113">
        <v>4</v>
      </c>
      <c r="F113">
        <v>19.36</v>
      </c>
      <c r="G113">
        <v>0.47877386212348938</v>
      </c>
      <c r="H113">
        <v>0.48277914524078369</v>
      </c>
      <c r="I113">
        <v>0.49581131339073181</v>
      </c>
      <c r="J113">
        <v>0.56312566995620728</v>
      </c>
      <c r="K113">
        <v>0.49291974306106567</v>
      </c>
      <c r="L113">
        <v>0.4346441924571991</v>
      </c>
      <c r="M113">
        <v>6.3567861914634705E-2</v>
      </c>
      <c r="N113">
        <v>-7.6820105314254761E-2</v>
      </c>
      <c r="O113">
        <v>-6.2826454639434814E-2</v>
      </c>
      <c r="P113">
        <v>0.17766864597797391</v>
      </c>
      <c r="Q113">
        <v>6.4769476652145386E-2</v>
      </c>
      <c r="R113">
        <v>2</v>
      </c>
      <c r="S113">
        <v>10</v>
      </c>
      <c r="T113" t="s">
        <v>286</v>
      </c>
      <c r="U113">
        <v>5.4968910863850109</v>
      </c>
      <c r="V113">
        <v>3.5763386348475201E-5</v>
      </c>
      <c r="W113">
        <v>51.6</v>
      </c>
      <c r="X113">
        <v>3.6</v>
      </c>
      <c r="Y113">
        <v>37.200000000000003</v>
      </c>
      <c r="Z113" t="s">
        <v>327</v>
      </c>
    </row>
    <row r="114" spans="1:26" x14ac:dyDescent="0.35">
      <c r="A114" t="s">
        <v>137</v>
      </c>
      <c r="B114">
        <v>2024</v>
      </c>
      <c r="C114">
        <v>7</v>
      </c>
      <c r="D114" t="s">
        <v>174</v>
      </c>
      <c r="E114">
        <v>4</v>
      </c>
      <c r="F114">
        <v>2.33</v>
      </c>
      <c r="G114">
        <v>4.4669639319181442E-2</v>
      </c>
      <c r="H114">
        <v>5.9944268316030502E-2</v>
      </c>
      <c r="I114">
        <v>5.8502517640590668E-2</v>
      </c>
      <c r="J114">
        <v>0.22102232277393341</v>
      </c>
      <c r="K114">
        <v>0.15361069142818451</v>
      </c>
      <c r="L114">
        <v>9.8838962614536285E-2</v>
      </c>
      <c r="M114">
        <v>0.58141458034515381</v>
      </c>
      <c r="N114">
        <v>-0.57329970598220825</v>
      </c>
      <c r="O114">
        <v>-0.21696099638938901</v>
      </c>
      <c r="P114">
        <v>0.32845154404640198</v>
      </c>
      <c r="Q114">
        <v>0.3127286434173584</v>
      </c>
      <c r="R114">
        <v>2</v>
      </c>
      <c r="S114">
        <v>10</v>
      </c>
      <c r="T114" t="s">
        <v>287</v>
      </c>
      <c r="U114">
        <v>2.0828439745760101</v>
      </c>
      <c r="V114">
        <v>0.63100524172329231</v>
      </c>
      <c r="W114">
        <v>94.2</v>
      </c>
      <c r="X114">
        <v>100</v>
      </c>
      <c r="Y114">
        <v>95.9</v>
      </c>
      <c r="Z114" t="s">
        <v>325</v>
      </c>
    </row>
    <row r="115" spans="1:26" x14ac:dyDescent="0.35">
      <c r="A115" t="s">
        <v>138</v>
      </c>
      <c r="B115">
        <v>2024</v>
      </c>
      <c r="C115">
        <v>7</v>
      </c>
      <c r="D115" t="s">
        <v>174</v>
      </c>
      <c r="E115">
        <v>4</v>
      </c>
      <c r="F115">
        <v>0</v>
      </c>
      <c r="G115">
        <v>2.707115933299065E-2</v>
      </c>
      <c r="H115">
        <v>4.5742347836494453E-2</v>
      </c>
      <c r="I115">
        <v>4.501655325293541E-2</v>
      </c>
      <c r="J115">
        <v>0.20064312219619751</v>
      </c>
      <c r="K115">
        <v>0.15010589361190799</v>
      </c>
      <c r="L115">
        <v>8.8320687413215637E-2</v>
      </c>
      <c r="M115">
        <v>0.63350468873977661</v>
      </c>
      <c r="N115">
        <v>-0.62869280576705933</v>
      </c>
      <c r="O115">
        <v>-0.25913724303245539</v>
      </c>
      <c r="P115">
        <v>0.30690518021583563</v>
      </c>
      <c r="Q115">
        <v>0.31306484341621399</v>
      </c>
      <c r="R115">
        <v>2</v>
      </c>
      <c r="S115">
        <v>10</v>
      </c>
      <c r="T115" t="s">
        <v>288</v>
      </c>
      <c r="U115">
        <v>2.727064686277282</v>
      </c>
      <c r="V115">
        <v>0.28232552189623511</v>
      </c>
      <c r="W115">
        <v>100</v>
      </c>
      <c r="X115">
        <v>100</v>
      </c>
      <c r="Y115">
        <v>100</v>
      </c>
      <c r="Z115" t="s">
        <v>325</v>
      </c>
    </row>
    <row r="116" spans="1:26" x14ac:dyDescent="0.35">
      <c r="A116" t="s">
        <v>139</v>
      </c>
      <c r="B116">
        <v>2024</v>
      </c>
      <c r="C116">
        <v>8</v>
      </c>
      <c r="D116" t="s">
        <v>174</v>
      </c>
      <c r="E116">
        <v>4</v>
      </c>
      <c r="F116">
        <v>10.86</v>
      </c>
      <c r="G116">
        <v>0.1513153463602066</v>
      </c>
      <c r="H116">
        <v>0.15356321632862091</v>
      </c>
      <c r="I116">
        <v>0.12834057211875921</v>
      </c>
      <c r="J116">
        <v>0.25091895461082458</v>
      </c>
      <c r="K116">
        <v>0.16394488513469699</v>
      </c>
      <c r="L116">
        <v>8.502805233001709E-2</v>
      </c>
      <c r="M116">
        <v>0.32320448756217962</v>
      </c>
      <c r="N116">
        <v>-0.24069227278232569</v>
      </c>
      <c r="O116">
        <v>-0.31696951389312739</v>
      </c>
      <c r="P116">
        <v>0.34583780169487</v>
      </c>
      <c r="Q116">
        <v>0.20911639928817749</v>
      </c>
      <c r="R116">
        <v>2</v>
      </c>
      <c r="S116">
        <v>10</v>
      </c>
      <c r="T116" t="s">
        <v>289</v>
      </c>
      <c r="U116">
        <v>5.9331783488888208</v>
      </c>
      <c r="V116">
        <v>3.9369640454367527E-6</v>
      </c>
      <c r="W116">
        <v>72.8</v>
      </c>
      <c r="X116">
        <v>0.4</v>
      </c>
      <c r="Y116">
        <v>51.1</v>
      </c>
      <c r="Z116" t="s">
        <v>327</v>
      </c>
    </row>
    <row r="117" spans="1:26" x14ac:dyDescent="0.35">
      <c r="A117" t="s">
        <v>140</v>
      </c>
      <c r="B117">
        <v>2024</v>
      </c>
      <c r="C117">
        <v>8</v>
      </c>
      <c r="D117" t="s">
        <v>174</v>
      </c>
      <c r="E117">
        <v>4</v>
      </c>
      <c r="F117">
        <v>2.76</v>
      </c>
      <c r="G117">
        <v>2.2185264155268669E-2</v>
      </c>
      <c r="H117">
        <v>4.261321946978569E-2</v>
      </c>
      <c r="I117">
        <v>3.760596364736557E-2</v>
      </c>
      <c r="J117">
        <v>0.204204261302948</v>
      </c>
      <c r="K117">
        <v>0.13802273571491239</v>
      </c>
      <c r="L117">
        <v>7.9377174377441406E-2</v>
      </c>
      <c r="M117">
        <v>0.68896293640136719</v>
      </c>
      <c r="N117">
        <v>-0.65469849109649658</v>
      </c>
      <c r="O117">
        <v>-0.2697589099407196</v>
      </c>
      <c r="P117">
        <v>0.32964938879013062</v>
      </c>
      <c r="Q117">
        <v>0.33687517046928411</v>
      </c>
      <c r="R117">
        <v>2</v>
      </c>
      <c r="S117">
        <v>10</v>
      </c>
      <c r="T117" t="s">
        <v>290</v>
      </c>
      <c r="U117">
        <v>1.830292239161454</v>
      </c>
      <c r="V117">
        <v>0.76381161895654559</v>
      </c>
      <c r="W117">
        <v>93.1</v>
      </c>
      <c r="X117">
        <v>100</v>
      </c>
      <c r="Y117">
        <v>95.2</v>
      </c>
      <c r="Z117" t="s">
        <v>325</v>
      </c>
    </row>
    <row r="118" spans="1:26" x14ac:dyDescent="0.35">
      <c r="A118" t="s">
        <v>141</v>
      </c>
      <c r="B118">
        <v>2024</v>
      </c>
      <c r="C118">
        <v>8</v>
      </c>
      <c r="D118" t="s">
        <v>174</v>
      </c>
      <c r="E118">
        <v>4</v>
      </c>
      <c r="F118">
        <v>7.24</v>
      </c>
      <c r="G118">
        <v>0.25676903128623962</v>
      </c>
      <c r="H118">
        <v>0.26163768768310552</v>
      </c>
      <c r="I118">
        <v>0.26449829339981079</v>
      </c>
      <c r="J118">
        <v>0.38560014963150019</v>
      </c>
      <c r="K118">
        <v>0.35274094343185419</v>
      </c>
      <c r="L118">
        <v>0.31962662935256958</v>
      </c>
      <c r="M118">
        <v>0.18628233671188349</v>
      </c>
      <c r="N118">
        <v>-0.19152536988258359</v>
      </c>
      <c r="O118">
        <v>-4.9250312149524689E-2</v>
      </c>
      <c r="P118">
        <v>0.28921306133270258</v>
      </c>
      <c r="Q118">
        <v>0.1579454243183136</v>
      </c>
      <c r="R118">
        <v>2</v>
      </c>
      <c r="S118">
        <v>10</v>
      </c>
      <c r="T118" t="s">
        <v>291</v>
      </c>
      <c r="U118">
        <v>3.015394730451832</v>
      </c>
      <c r="V118">
        <v>0.16843660361709331</v>
      </c>
      <c r="W118">
        <v>81.900000000000006</v>
      </c>
      <c r="X118">
        <v>100</v>
      </c>
      <c r="Y118">
        <v>87.3</v>
      </c>
      <c r="Z118" t="s">
        <v>326</v>
      </c>
    </row>
    <row r="119" spans="1:26" x14ac:dyDescent="0.35">
      <c r="A119" t="s">
        <v>142</v>
      </c>
      <c r="B119">
        <v>2024</v>
      </c>
      <c r="C119">
        <v>8</v>
      </c>
      <c r="D119" t="s">
        <v>174</v>
      </c>
      <c r="E119">
        <v>4</v>
      </c>
      <c r="F119">
        <v>0</v>
      </c>
      <c r="G119">
        <v>2.5328712537884709E-2</v>
      </c>
      <c r="H119">
        <v>4.2928259819746017E-2</v>
      </c>
      <c r="I119">
        <v>4.0311481803655617E-2</v>
      </c>
      <c r="J119">
        <v>0.20839826762676239</v>
      </c>
      <c r="K119">
        <v>0.15510094165801999</v>
      </c>
      <c r="L119">
        <v>9.3200430274009705E-2</v>
      </c>
      <c r="M119">
        <v>0.67583513259887695</v>
      </c>
      <c r="N119">
        <v>-0.65838652849197388</v>
      </c>
      <c r="O119">
        <v>-0.24929589033126831</v>
      </c>
      <c r="P119">
        <v>0.33342567086219788</v>
      </c>
      <c r="Q119">
        <v>0.33675289154052729</v>
      </c>
      <c r="R119">
        <v>2</v>
      </c>
      <c r="S119">
        <v>10</v>
      </c>
      <c r="T119" t="s">
        <v>292</v>
      </c>
      <c r="U119">
        <v>1.817660940833461</v>
      </c>
      <c r="V119">
        <v>0.76985144449072473</v>
      </c>
      <c r="W119">
        <v>100</v>
      </c>
      <c r="X119">
        <v>100</v>
      </c>
      <c r="Y119">
        <v>100</v>
      </c>
      <c r="Z119" t="s">
        <v>325</v>
      </c>
    </row>
    <row r="120" spans="1:26" x14ac:dyDescent="0.35">
      <c r="A120" t="s">
        <v>143</v>
      </c>
      <c r="B120">
        <v>2024</v>
      </c>
      <c r="C120">
        <v>8</v>
      </c>
      <c r="D120" t="s">
        <v>174</v>
      </c>
      <c r="E120">
        <v>4</v>
      </c>
      <c r="F120">
        <v>6</v>
      </c>
      <c r="G120">
        <v>9.1003216803073883E-2</v>
      </c>
      <c r="H120">
        <v>9.482681006193161E-2</v>
      </c>
      <c r="I120">
        <v>8.0699488520622253E-2</v>
      </c>
      <c r="J120">
        <v>0.20924451947212219</v>
      </c>
      <c r="K120">
        <v>0.15817263722419739</v>
      </c>
      <c r="L120">
        <v>9.3331500887870789E-2</v>
      </c>
      <c r="M120">
        <v>0.4433443546295166</v>
      </c>
      <c r="N120">
        <v>-0.37628573179245001</v>
      </c>
      <c r="O120">
        <v>-0.25781342387199402</v>
      </c>
      <c r="P120">
        <v>0.31789207458496088</v>
      </c>
      <c r="Q120">
        <v>0.24409013986587519</v>
      </c>
      <c r="R120">
        <v>2</v>
      </c>
      <c r="S120">
        <v>10</v>
      </c>
      <c r="T120" t="s">
        <v>293</v>
      </c>
      <c r="U120">
        <v>4.4860309137352541</v>
      </c>
      <c r="V120">
        <v>2.6315798180297501E-3</v>
      </c>
      <c r="W120">
        <v>85</v>
      </c>
      <c r="X120">
        <v>100</v>
      </c>
      <c r="Y120">
        <v>89.5</v>
      </c>
      <c r="Z120" t="s">
        <v>326</v>
      </c>
    </row>
    <row r="121" spans="1:26" x14ac:dyDescent="0.35">
      <c r="A121" t="s">
        <v>144</v>
      </c>
      <c r="B121">
        <v>2024</v>
      </c>
      <c r="C121">
        <v>8</v>
      </c>
      <c r="D121" t="s">
        <v>174</v>
      </c>
      <c r="E121">
        <v>4</v>
      </c>
      <c r="F121">
        <v>0</v>
      </c>
      <c r="G121">
        <v>2.8603412210941311E-2</v>
      </c>
      <c r="H121">
        <v>4.8369862139225013E-2</v>
      </c>
      <c r="I121">
        <v>4.5615434646606452E-2</v>
      </c>
      <c r="J121">
        <v>0.21072641015052801</v>
      </c>
      <c r="K121">
        <v>0.15844263136386871</v>
      </c>
      <c r="L121">
        <v>9.1906063258647919E-2</v>
      </c>
      <c r="M121">
        <v>0.64410465955734253</v>
      </c>
      <c r="N121">
        <v>-0.62662637233734131</v>
      </c>
      <c r="O121">
        <v>-0.26577559113502502</v>
      </c>
      <c r="P121">
        <v>0.32504889369010931</v>
      </c>
      <c r="Q121">
        <v>0.32745307683944702</v>
      </c>
      <c r="R121">
        <v>2</v>
      </c>
      <c r="S121">
        <v>10</v>
      </c>
      <c r="T121" t="s">
        <v>294</v>
      </c>
      <c r="U121">
        <v>1.58275589811011</v>
      </c>
      <c r="V121">
        <v>0.86789463862630667</v>
      </c>
      <c r="W121">
        <v>100</v>
      </c>
      <c r="X121">
        <v>100</v>
      </c>
      <c r="Y121">
        <v>100</v>
      </c>
      <c r="Z121" t="s">
        <v>325</v>
      </c>
    </row>
    <row r="122" spans="1:26" x14ac:dyDescent="0.35">
      <c r="A122" t="s">
        <v>145</v>
      </c>
      <c r="B122">
        <v>2024</v>
      </c>
      <c r="C122">
        <v>8</v>
      </c>
      <c r="D122" t="s">
        <v>174</v>
      </c>
      <c r="E122">
        <v>4</v>
      </c>
      <c r="F122">
        <v>1.78</v>
      </c>
      <c r="G122">
        <v>3.3685505390167243E-2</v>
      </c>
      <c r="H122">
        <v>5.4054047912359238E-2</v>
      </c>
      <c r="I122">
        <v>4.968484491109848E-2</v>
      </c>
      <c r="J122">
        <v>0.22821113467216489</v>
      </c>
      <c r="K122">
        <v>0.16733263432979581</v>
      </c>
      <c r="L122">
        <v>0.1004141718149185</v>
      </c>
      <c r="M122">
        <v>0.64242124557495117</v>
      </c>
      <c r="N122">
        <v>-0.61699807643890381</v>
      </c>
      <c r="O122">
        <v>-0.24993188679218289</v>
      </c>
      <c r="P122">
        <v>0.35041463375091553</v>
      </c>
      <c r="Q122">
        <v>0.34424835443496699</v>
      </c>
      <c r="R122">
        <v>2</v>
      </c>
      <c r="S122">
        <v>10</v>
      </c>
      <c r="T122" t="s">
        <v>295</v>
      </c>
      <c r="U122">
        <v>0.67782129387966217</v>
      </c>
      <c r="V122">
        <v>0.99829760495093678</v>
      </c>
      <c r="W122">
        <v>95.6</v>
      </c>
      <c r="X122">
        <v>100</v>
      </c>
      <c r="Y122">
        <v>96.9</v>
      </c>
      <c r="Z122" t="s">
        <v>325</v>
      </c>
    </row>
    <row r="123" spans="1:26" x14ac:dyDescent="0.35">
      <c r="A123" t="s">
        <v>146</v>
      </c>
      <c r="B123">
        <v>2024</v>
      </c>
      <c r="C123">
        <v>9</v>
      </c>
      <c r="D123" t="s">
        <v>174</v>
      </c>
      <c r="E123">
        <v>4</v>
      </c>
      <c r="F123">
        <v>7.01</v>
      </c>
      <c r="G123">
        <v>5.1795497536659241E-2</v>
      </c>
      <c r="H123">
        <v>6.4755953848361969E-2</v>
      </c>
      <c r="I123">
        <v>5.7806741446256638E-2</v>
      </c>
      <c r="J123">
        <v>0.21686165034770971</v>
      </c>
      <c r="K123">
        <v>0.17292557656764981</v>
      </c>
      <c r="L123">
        <v>0.1039677262306213</v>
      </c>
      <c r="M123">
        <v>0.57907974720001221</v>
      </c>
      <c r="N123">
        <v>-0.54011428356170654</v>
      </c>
      <c r="O123">
        <v>-0.24904122948646551</v>
      </c>
      <c r="P123">
        <v>0.33834677934646612</v>
      </c>
      <c r="Q123">
        <v>0.30797997117042542</v>
      </c>
      <c r="R123">
        <v>2</v>
      </c>
      <c r="S123">
        <v>10</v>
      </c>
      <c r="T123" t="s">
        <v>296</v>
      </c>
      <c r="U123">
        <v>2.0072358582357892</v>
      </c>
      <c r="V123">
        <v>0.67275233113658495</v>
      </c>
      <c r="W123">
        <v>82.5</v>
      </c>
      <c r="X123">
        <v>100</v>
      </c>
      <c r="Y123">
        <v>87.8</v>
      </c>
      <c r="Z123" t="s">
        <v>326</v>
      </c>
    </row>
    <row r="124" spans="1:26" x14ac:dyDescent="0.35">
      <c r="A124" t="s">
        <v>147</v>
      </c>
      <c r="B124">
        <v>2024</v>
      </c>
      <c r="C124">
        <v>9</v>
      </c>
      <c r="D124" t="s">
        <v>174</v>
      </c>
      <c r="E124">
        <v>4</v>
      </c>
      <c r="F124">
        <v>5.36</v>
      </c>
      <c r="G124">
        <v>5.4047998040914542E-2</v>
      </c>
      <c r="H124">
        <v>7.0330396294593811E-2</v>
      </c>
      <c r="I124">
        <v>6.3473276793956757E-2</v>
      </c>
      <c r="J124">
        <v>0.2136876583099365</v>
      </c>
      <c r="K124">
        <v>0.16861207783222201</v>
      </c>
      <c r="L124">
        <v>9.9054157733917236E-2</v>
      </c>
      <c r="M124">
        <v>0.54197525978088379</v>
      </c>
      <c r="N124">
        <v>-0.50474703311920166</v>
      </c>
      <c r="O124">
        <v>-0.25986811518669128</v>
      </c>
      <c r="P124">
        <v>0.31579738855361938</v>
      </c>
      <c r="Q124">
        <v>0.2899290919303894</v>
      </c>
      <c r="R124">
        <v>2</v>
      </c>
      <c r="S124">
        <v>10</v>
      </c>
      <c r="T124" t="s">
        <v>297</v>
      </c>
      <c r="U124">
        <v>1.9379065930521171</v>
      </c>
      <c r="V124">
        <v>0.70972585589297643</v>
      </c>
      <c r="W124">
        <v>86.6</v>
      </c>
      <c r="X124">
        <v>100</v>
      </c>
      <c r="Y124">
        <v>90.6</v>
      </c>
      <c r="Z124" t="s">
        <v>325</v>
      </c>
    </row>
    <row r="125" spans="1:26" x14ac:dyDescent="0.35">
      <c r="A125" t="s">
        <v>148</v>
      </c>
      <c r="B125">
        <v>2024</v>
      </c>
      <c r="C125">
        <v>9</v>
      </c>
      <c r="D125" t="s">
        <v>174</v>
      </c>
      <c r="E125">
        <v>4</v>
      </c>
      <c r="F125">
        <v>4.82</v>
      </c>
      <c r="G125">
        <v>4.2097005993127823E-2</v>
      </c>
      <c r="H125">
        <v>6.5158411860466003E-2</v>
      </c>
      <c r="I125">
        <v>6.1281636357307427E-2</v>
      </c>
      <c r="J125">
        <v>0.2433930039405823</v>
      </c>
      <c r="K125">
        <v>0.19380113482475281</v>
      </c>
      <c r="L125">
        <v>0.1113779619336128</v>
      </c>
      <c r="M125">
        <v>0.59772408008575439</v>
      </c>
      <c r="N125">
        <v>-0.57764953374862671</v>
      </c>
      <c r="O125">
        <v>-0.27008131146430969</v>
      </c>
      <c r="P125">
        <v>0.35146993398666382</v>
      </c>
      <c r="Q125">
        <v>0.33947515487670898</v>
      </c>
      <c r="R125">
        <v>2</v>
      </c>
      <c r="S125">
        <v>10</v>
      </c>
      <c r="T125" t="s">
        <v>298</v>
      </c>
      <c r="U125">
        <v>1.581460501577767</v>
      </c>
      <c r="V125">
        <v>0.8683537940109719</v>
      </c>
      <c r="W125">
        <v>88</v>
      </c>
      <c r="X125">
        <v>100</v>
      </c>
      <c r="Y125">
        <v>91.6</v>
      </c>
      <c r="Z125" t="s">
        <v>325</v>
      </c>
    </row>
    <row r="126" spans="1:26" x14ac:dyDescent="0.35">
      <c r="A126" t="s">
        <v>149</v>
      </c>
      <c r="B126">
        <v>2024</v>
      </c>
      <c r="C126">
        <v>9</v>
      </c>
      <c r="D126" t="s">
        <v>174</v>
      </c>
      <c r="E126">
        <v>4</v>
      </c>
      <c r="F126">
        <v>15.02</v>
      </c>
      <c r="G126">
        <v>4.4776223599910743E-2</v>
      </c>
      <c r="H126">
        <v>6.4789414405822754E-2</v>
      </c>
      <c r="I126">
        <v>5.869152769446373E-2</v>
      </c>
      <c r="J126">
        <v>0.21573945879936221</v>
      </c>
      <c r="K126">
        <v>0.17016637325286871</v>
      </c>
      <c r="L126">
        <v>0.1057206466794014</v>
      </c>
      <c r="M126">
        <v>0.57226747274398804</v>
      </c>
      <c r="N126">
        <v>-0.53809094429016113</v>
      </c>
      <c r="O126">
        <v>-0.23359464108943939</v>
      </c>
      <c r="P126">
        <v>0.31866762042045588</v>
      </c>
      <c r="Q126">
        <v>0.30418705940246582</v>
      </c>
      <c r="R126">
        <v>2</v>
      </c>
      <c r="S126">
        <v>10</v>
      </c>
      <c r="T126" t="s">
        <v>299</v>
      </c>
      <c r="U126">
        <v>1.865693306077769</v>
      </c>
      <c r="V126">
        <v>0.7465208663343621</v>
      </c>
      <c r="W126">
        <v>62.4</v>
      </c>
      <c r="X126">
        <v>100</v>
      </c>
      <c r="Y126">
        <v>73.7</v>
      </c>
      <c r="Z126" t="s">
        <v>328</v>
      </c>
    </row>
    <row r="127" spans="1:26" x14ac:dyDescent="0.35">
      <c r="A127" t="s">
        <v>150</v>
      </c>
      <c r="B127">
        <v>2025</v>
      </c>
      <c r="C127">
        <v>9</v>
      </c>
      <c r="D127" t="s">
        <v>171</v>
      </c>
      <c r="E127">
        <v>1</v>
      </c>
      <c r="F127">
        <v>4.62</v>
      </c>
      <c r="G127">
        <v>5.0936106592416763E-2</v>
      </c>
      <c r="H127">
        <v>7.3201082646846771E-2</v>
      </c>
      <c r="I127">
        <v>6.9516658782958984E-2</v>
      </c>
      <c r="J127">
        <v>0.25173214077949518</v>
      </c>
      <c r="K127">
        <v>0.18112990260124209</v>
      </c>
      <c r="L127">
        <v>0.10880511254072189</v>
      </c>
      <c r="M127">
        <v>0.56720983982086182</v>
      </c>
      <c r="N127">
        <v>-0.5494391918182373</v>
      </c>
      <c r="O127">
        <v>-0.2494517266750336</v>
      </c>
      <c r="P127">
        <v>0.3540058434009552</v>
      </c>
      <c r="Q127">
        <v>0.33281415700912481</v>
      </c>
      <c r="R127">
        <v>2</v>
      </c>
      <c r="S127">
        <v>10</v>
      </c>
      <c r="T127" t="s">
        <v>300</v>
      </c>
      <c r="U127">
        <v>2.7933744436597472</v>
      </c>
      <c r="V127">
        <v>0.25289883205303559</v>
      </c>
      <c r="W127">
        <v>88.4</v>
      </c>
      <c r="X127">
        <v>100</v>
      </c>
      <c r="Y127">
        <v>91.9</v>
      </c>
      <c r="Z127" t="s">
        <v>325</v>
      </c>
    </row>
    <row r="128" spans="1:26" x14ac:dyDescent="0.35">
      <c r="A128" t="s">
        <v>151</v>
      </c>
      <c r="B128">
        <v>2025</v>
      </c>
      <c r="C128">
        <v>10</v>
      </c>
      <c r="D128" t="s">
        <v>171</v>
      </c>
      <c r="E128">
        <v>1</v>
      </c>
      <c r="F128">
        <v>0</v>
      </c>
      <c r="G128">
        <v>2.9701067134737968E-2</v>
      </c>
      <c r="H128">
        <v>5.3720753639936447E-2</v>
      </c>
      <c r="I128">
        <v>4.832182452082634E-2</v>
      </c>
      <c r="J128">
        <v>0.2399441599845886</v>
      </c>
      <c r="K128">
        <v>0.16991437971591949</v>
      </c>
      <c r="L128">
        <v>9.9035091698169708E-2</v>
      </c>
      <c r="M128">
        <v>0.6647413969039917</v>
      </c>
      <c r="N128">
        <v>-0.63413572311401367</v>
      </c>
      <c r="O128">
        <v>-0.26354128122329712</v>
      </c>
      <c r="P128">
        <v>0.36649799346923828</v>
      </c>
      <c r="Q128">
        <v>0.36464026570320129</v>
      </c>
      <c r="R128">
        <v>2</v>
      </c>
      <c r="S128">
        <v>10</v>
      </c>
      <c r="T128" t="s">
        <v>301</v>
      </c>
      <c r="U128">
        <v>1.6392648567578281</v>
      </c>
      <c r="V128">
        <v>0.8469581142540582</v>
      </c>
      <c r="W128">
        <v>100</v>
      </c>
      <c r="X128">
        <v>100</v>
      </c>
      <c r="Y128">
        <v>100</v>
      </c>
      <c r="Z128" t="s">
        <v>325</v>
      </c>
    </row>
    <row r="129" spans="1:26" x14ac:dyDescent="0.35">
      <c r="A129" t="s">
        <v>151</v>
      </c>
      <c r="B129">
        <v>2025</v>
      </c>
      <c r="C129">
        <v>10</v>
      </c>
      <c r="D129" t="s">
        <v>171</v>
      </c>
      <c r="E129">
        <v>1</v>
      </c>
      <c r="F129">
        <v>0.09</v>
      </c>
      <c r="G129">
        <v>2.9701067134737968E-2</v>
      </c>
      <c r="H129">
        <v>5.3720753639936447E-2</v>
      </c>
      <c r="I129">
        <v>4.832182452082634E-2</v>
      </c>
      <c r="J129">
        <v>0.2399441599845886</v>
      </c>
      <c r="K129">
        <v>0.16991437971591949</v>
      </c>
      <c r="L129">
        <v>9.9035091698169708E-2</v>
      </c>
      <c r="M129">
        <v>0.6647413969039917</v>
      </c>
      <c r="N129">
        <v>-0.63413572311401367</v>
      </c>
      <c r="O129">
        <v>-0.26354128122329712</v>
      </c>
      <c r="P129">
        <v>0.36649799346923828</v>
      </c>
      <c r="Q129">
        <v>0.36464026570320129</v>
      </c>
      <c r="R129">
        <v>2</v>
      </c>
      <c r="S129">
        <v>10</v>
      </c>
      <c r="T129" t="s">
        <v>302</v>
      </c>
      <c r="U129">
        <v>1.6392648567578281</v>
      </c>
      <c r="V129">
        <v>0.8469581142540582</v>
      </c>
      <c r="W129">
        <v>99.8</v>
      </c>
      <c r="X129">
        <v>100</v>
      </c>
      <c r="Y129">
        <v>99.9</v>
      </c>
      <c r="Z129" t="s">
        <v>325</v>
      </c>
    </row>
    <row r="130" spans="1:26" x14ac:dyDescent="0.35">
      <c r="A130" t="s">
        <v>152</v>
      </c>
      <c r="B130">
        <v>2025</v>
      </c>
      <c r="C130">
        <v>3</v>
      </c>
      <c r="D130" t="s">
        <v>173</v>
      </c>
      <c r="E130">
        <v>3</v>
      </c>
      <c r="F130">
        <v>5.36</v>
      </c>
      <c r="G130">
        <v>3.074517659842968E-2</v>
      </c>
      <c r="H130">
        <v>4.9996230751276023E-2</v>
      </c>
      <c r="I130">
        <v>4.606589674949646E-2</v>
      </c>
      <c r="J130">
        <v>0.25076282024383539</v>
      </c>
      <c r="K130">
        <v>0.16987001895904541</v>
      </c>
      <c r="L130">
        <v>9.9334850907325745E-2</v>
      </c>
      <c r="M130">
        <v>0.68961292505264282</v>
      </c>
      <c r="N130">
        <v>-0.66753304004669189</v>
      </c>
      <c r="O130">
        <v>-0.26201298832893372</v>
      </c>
      <c r="P130">
        <v>0.39468950033187872</v>
      </c>
      <c r="Q130">
        <v>0.38533425331115723</v>
      </c>
      <c r="R130">
        <v>2</v>
      </c>
      <c r="S130">
        <v>10</v>
      </c>
      <c r="T130" t="s">
        <v>303</v>
      </c>
      <c r="U130">
        <v>1.9709887050934931</v>
      </c>
      <c r="V130">
        <v>0.69226314483051365</v>
      </c>
      <c r="W130">
        <v>86.6</v>
      </c>
      <c r="X130">
        <v>100</v>
      </c>
      <c r="Y130">
        <v>90.6</v>
      </c>
      <c r="Z130" t="s">
        <v>325</v>
      </c>
    </row>
    <row r="131" spans="1:26" x14ac:dyDescent="0.35">
      <c r="A131" t="s">
        <v>153</v>
      </c>
      <c r="B131">
        <v>2025</v>
      </c>
      <c r="C131">
        <v>4</v>
      </c>
      <c r="D131" t="s">
        <v>173</v>
      </c>
      <c r="E131">
        <v>3</v>
      </c>
      <c r="F131">
        <v>2.68</v>
      </c>
      <c r="G131">
        <v>3.0525444075465199E-2</v>
      </c>
      <c r="H131">
        <v>5.1029708236455917E-2</v>
      </c>
      <c r="I131">
        <v>4.6775165945291519E-2</v>
      </c>
      <c r="J131">
        <v>0.24214887619018549</v>
      </c>
      <c r="K131">
        <v>0.16604618728160861</v>
      </c>
      <c r="L131">
        <v>9.695763885974884E-2</v>
      </c>
      <c r="M131">
        <v>0.67621135711669922</v>
      </c>
      <c r="N131">
        <v>-0.65188652276992798</v>
      </c>
      <c r="O131">
        <v>-0.26269027590751648</v>
      </c>
      <c r="P131">
        <v>0.3775019645690918</v>
      </c>
      <c r="Q131">
        <v>0.37146866321563721</v>
      </c>
      <c r="R131">
        <v>2</v>
      </c>
      <c r="S131">
        <v>10</v>
      </c>
      <c r="T131" t="s">
        <v>304</v>
      </c>
      <c r="U131">
        <v>1.226440968290256</v>
      </c>
      <c r="V131">
        <v>0.95921791705854664</v>
      </c>
      <c r="W131">
        <v>93.3</v>
      </c>
      <c r="X131">
        <v>100</v>
      </c>
      <c r="Y131">
        <v>95.3</v>
      </c>
      <c r="Z131" t="s">
        <v>325</v>
      </c>
    </row>
    <row r="132" spans="1:26" x14ac:dyDescent="0.35">
      <c r="A132" t="s">
        <v>154</v>
      </c>
      <c r="B132">
        <v>2025</v>
      </c>
      <c r="C132">
        <v>4</v>
      </c>
      <c r="D132" t="s">
        <v>173</v>
      </c>
      <c r="E132">
        <v>3</v>
      </c>
      <c r="F132">
        <v>2.89</v>
      </c>
      <c r="G132">
        <v>3.2501384615898132E-2</v>
      </c>
      <c r="H132">
        <v>5.1984313875436783E-2</v>
      </c>
      <c r="I132">
        <v>4.3219923973083503E-2</v>
      </c>
      <c r="J132">
        <v>0.25078418850898743</v>
      </c>
      <c r="K132">
        <v>0.1526038199663162</v>
      </c>
      <c r="L132">
        <v>8.7620437145233154E-2</v>
      </c>
      <c r="M132">
        <v>0.70599102973937988</v>
      </c>
      <c r="N132">
        <v>-0.65660685300827026</v>
      </c>
      <c r="O132">
        <v>-0.27051132917404169</v>
      </c>
      <c r="P132">
        <v>0.4097709059715271</v>
      </c>
      <c r="Q132">
        <v>0.39212191104888922</v>
      </c>
      <c r="R132">
        <v>2</v>
      </c>
      <c r="S132">
        <v>10</v>
      </c>
      <c r="T132" t="s">
        <v>305</v>
      </c>
      <c r="U132">
        <v>1.624693266415149</v>
      </c>
      <c r="V132">
        <v>0.85252543659196933</v>
      </c>
      <c r="W132">
        <v>92.8</v>
      </c>
      <c r="X132">
        <v>100</v>
      </c>
      <c r="Y132">
        <v>95</v>
      </c>
      <c r="Z132" t="s">
        <v>325</v>
      </c>
    </row>
    <row r="133" spans="1:26" x14ac:dyDescent="0.35">
      <c r="A133" t="s">
        <v>154</v>
      </c>
      <c r="B133">
        <v>2025</v>
      </c>
      <c r="C133">
        <v>4</v>
      </c>
      <c r="D133" t="s">
        <v>173</v>
      </c>
      <c r="E133">
        <v>3</v>
      </c>
      <c r="F133">
        <v>2.92</v>
      </c>
      <c r="G133">
        <v>3.2501384615898132E-2</v>
      </c>
      <c r="H133">
        <v>5.1984313875436783E-2</v>
      </c>
      <c r="I133">
        <v>4.3219923973083503E-2</v>
      </c>
      <c r="J133">
        <v>0.25078418850898743</v>
      </c>
      <c r="K133">
        <v>0.1526038199663162</v>
      </c>
      <c r="L133">
        <v>8.7620437145233154E-2</v>
      </c>
      <c r="M133">
        <v>0.70599102973937988</v>
      </c>
      <c r="N133">
        <v>-0.65660685300827026</v>
      </c>
      <c r="O133">
        <v>-0.27051132917404169</v>
      </c>
      <c r="P133">
        <v>0.4097709059715271</v>
      </c>
      <c r="Q133">
        <v>0.39212191104888922</v>
      </c>
      <c r="R133">
        <v>2</v>
      </c>
      <c r="S133">
        <v>10</v>
      </c>
      <c r="T133" t="s">
        <v>306</v>
      </c>
      <c r="U133">
        <v>1.624693266415149</v>
      </c>
      <c r="V133">
        <v>0.85252543659196933</v>
      </c>
      <c r="W133">
        <v>92.7</v>
      </c>
      <c r="X133">
        <v>100</v>
      </c>
      <c r="Y133">
        <v>94.9</v>
      </c>
      <c r="Z133" t="s">
        <v>325</v>
      </c>
    </row>
    <row r="134" spans="1:26" x14ac:dyDescent="0.35">
      <c r="A134" t="s">
        <v>155</v>
      </c>
      <c r="B134">
        <v>2025</v>
      </c>
      <c r="C134">
        <v>5</v>
      </c>
      <c r="D134" t="s">
        <v>173</v>
      </c>
      <c r="E134">
        <v>3</v>
      </c>
      <c r="F134">
        <v>0.75</v>
      </c>
      <c r="G134">
        <v>3.4523960202932358E-2</v>
      </c>
      <c r="H134">
        <v>5.1087465137243271E-2</v>
      </c>
      <c r="I134">
        <v>4.1756544262170792E-2</v>
      </c>
      <c r="J134">
        <v>0.2556394636631012</v>
      </c>
      <c r="K134">
        <v>0.15820363163948059</v>
      </c>
      <c r="L134">
        <v>8.8062085211277008E-2</v>
      </c>
      <c r="M134">
        <v>0.71918559074401855</v>
      </c>
      <c r="N134">
        <v>-0.66688632965087891</v>
      </c>
      <c r="O134">
        <v>-0.28482058644294739</v>
      </c>
      <c r="P134">
        <v>0.42870935797691351</v>
      </c>
      <c r="Q134">
        <v>0.4023401141166687</v>
      </c>
      <c r="R134">
        <v>2</v>
      </c>
      <c r="S134">
        <v>10</v>
      </c>
      <c r="T134" t="s">
        <v>307</v>
      </c>
      <c r="U134">
        <v>2.2875149214411001</v>
      </c>
      <c r="V134">
        <v>0.51432971711671516</v>
      </c>
      <c r="W134">
        <v>98.1</v>
      </c>
      <c r="X134">
        <v>100</v>
      </c>
      <c r="Y134">
        <v>98.7</v>
      </c>
      <c r="Z134" t="s">
        <v>325</v>
      </c>
    </row>
    <row r="135" spans="1:26" x14ac:dyDescent="0.35">
      <c r="A135" t="s">
        <v>156</v>
      </c>
      <c r="B135">
        <v>2025</v>
      </c>
      <c r="C135">
        <v>5</v>
      </c>
      <c r="D135" t="s">
        <v>173</v>
      </c>
      <c r="E135">
        <v>3</v>
      </c>
      <c r="F135">
        <v>0.96</v>
      </c>
      <c r="G135">
        <v>0.19483074545860291</v>
      </c>
      <c r="H135">
        <v>0.20281912386417389</v>
      </c>
      <c r="I135">
        <v>0.1983173489570618</v>
      </c>
      <c r="J135">
        <v>0.34241852164268488</v>
      </c>
      <c r="K135">
        <v>0.29721617698669428</v>
      </c>
      <c r="L135">
        <v>0.2455616891384125</v>
      </c>
      <c r="M135">
        <v>0.2664908766746521</v>
      </c>
      <c r="N135">
        <v>-0.25603404641151428</v>
      </c>
      <c r="O135">
        <v>-9.5166899263858795E-2</v>
      </c>
      <c r="P135">
        <v>0.33634170889854431</v>
      </c>
      <c r="Q135">
        <v>0.20769128203392029</v>
      </c>
      <c r="R135">
        <v>2</v>
      </c>
      <c r="S135">
        <v>10</v>
      </c>
      <c r="T135" t="s">
        <v>308</v>
      </c>
      <c r="U135">
        <v>2.608151835713731</v>
      </c>
      <c r="V135">
        <v>0.33950307013383302</v>
      </c>
      <c r="W135">
        <v>97.6</v>
      </c>
      <c r="X135">
        <v>100</v>
      </c>
      <c r="Y135">
        <v>98.3</v>
      </c>
      <c r="Z135" t="s">
        <v>325</v>
      </c>
    </row>
    <row r="136" spans="1:26" x14ac:dyDescent="0.35">
      <c r="A136" t="s">
        <v>157</v>
      </c>
      <c r="B136">
        <v>2025</v>
      </c>
      <c r="C136">
        <v>5</v>
      </c>
      <c r="D136" t="s">
        <v>173</v>
      </c>
      <c r="E136">
        <v>3</v>
      </c>
      <c r="F136">
        <v>0.69</v>
      </c>
      <c r="G136">
        <v>2.1898055449128151E-2</v>
      </c>
      <c r="H136">
        <v>4.1039526462554932E-2</v>
      </c>
      <c r="I136">
        <v>3.1458131968975067E-2</v>
      </c>
      <c r="J136">
        <v>0.2512984573841095</v>
      </c>
      <c r="K136">
        <v>0.14017923176288599</v>
      </c>
      <c r="L136">
        <v>7.3213912546634674E-2</v>
      </c>
      <c r="M136">
        <v>0.77748960256576538</v>
      </c>
      <c r="N136">
        <v>-0.71923232078552246</v>
      </c>
      <c r="O136">
        <v>-0.31381192803382868</v>
      </c>
      <c r="P136">
        <v>0.43078511953353882</v>
      </c>
      <c r="Q136">
        <v>0.42128103971481318</v>
      </c>
      <c r="R136">
        <v>2</v>
      </c>
      <c r="S136">
        <v>10</v>
      </c>
      <c r="T136" t="s">
        <v>309</v>
      </c>
      <c r="U136">
        <v>2.2600953916756059</v>
      </c>
      <c r="V136">
        <v>0.53003396333968644</v>
      </c>
      <c r="W136">
        <v>98.3</v>
      </c>
      <c r="X136">
        <v>100</v>
      </c>
      <c r="Y136">
        <v>98.8</v>
      </c>
      <c r="Z136" t="s">
        <v>325</v>
      </c>
    </row>
    <row r="137" spans="1:26" x14ac:dyDescent="0.35">
      <c r="A137" t="s">
        <v>158</v>
      </c>
      <c r="B137">
        <v>2025</v>
      </c>
      <c r="C137">
        <v>5</v>
      </c>
      <c r="D137" t="s">
        <v>173</v>
      </c>
      <c r="E137">
        <v>3</v>
      </c>
      <c r="F137">
        <v>0</v>
      </c>
      <c r="G137">
        <v>1.947358250617981E-2</v>
      </c>
      <c r="H137">
        <v>4.11369688808918E-2</v>
      </c>
      <c r="I137">
        <v>3.273279219865799E-2</v>
      </c>
      <c r="J137">
        <v>0.24279229342937469</v>
      </c>
      <c r="K137">
        <v>0.1482967138290405</v>
      </c>
      <c r="L137">
        <v>7.7769622206687927E-2</v>
      </c>
      <c r="M137">
        <v>0.76239699125289917</v>
      </c>
      <c r="N137">
        <v>-0.71023088693618774</v>
      </c>
      <c r="O137">
        <v>-0.31197521090507507</v>
      </c>
      <c r="P137">
        <v>0.4061044454574585</v>
      </c>
      <c r="Q137">
        <v>0.40629148483276373</v>
      </c>
      <c r="R137">
        <v>2</v>
      </c>
      <c r="S137">
        <v>10</v>
      </c>
      <c r="T137" t="s">
        <v>310</v>
      </c>
      <c r="U137">
        <v>1.643995271539711</v>
      </c>
      <c r="V137">
        <v>0.84512586495045139</v>
      </c>
      <c r="W137">
        <v>100</v>
      </c>
      <c r="X137">
        <v>100</v>
      </c>
      <c r="Y137">
        <v>100</v>
      </c>
      <c r="Z137" t="s">
        <v>325</v>
      </c>
    </row>
    <row r="138" spans="1:26" x14ac:dyDescent="0.35">
      <c r="A138" t="s">
        <v>158</v>
      </c>
      <c r="B138">
        <v>2025</v>
      </c>
      <c r="C138">
        <v>5</v>
      </c>
      <c r="D138" t="s">
        <v>173</v>
      </c>
      <c r="E138">
        <v>3</v>
      </c>
      <c r="F138">
        <v>8.74</v>
      </c>
      <c r="G138">
        <v>1.947358250617981E-2</v>
      </c>
      <c r="H138">
        <v>4.11369688808918E-2</v>
      </c>
      <c r="I138">
        <v>3.273279219865799E-2</v>
      </c>
      <c r="J138">
        <v>0.24279229342937469</v>
      </c>
      <c r="K138">
        <v>0.1482967138290405</v>
      </c>
      <c r="L138">
        <v>7.7769622206687927E-2</v>
      </c>
      <c r="M138">
        <v>0.76239699125289917</v>
      </c>
      <c r="N138">
        <v>-0.71023088693618774</v>
      </c>
      <c r="O138">
        <v>-0.31197521090507507</v>
      </c>
      <c r="P138">
        <v>0.4061044454574585</v>
      </c>
      <c r="Q138">
        <v>0.40629148483276373</v>
      </c>
      <c r="R138">
        <v>2</v>
      </c>
      <c r="S138">
        <v>10</v>
      </c>
      <c r="T138" t="s">
        <v>311</v>
      </c>
      <c r="U138">
        <v>1.643995271539711</v>
      </c>
      <c r="V138">
        <v>0.84512586495045139</v>
      </c>
      <c r="W138">
        <v>78.2</v>
      </c>
      <c r="X138">
        <v>100</v>
      </c>
      <c r="Y138">
        <v>84.7</v>
      </c>
      <c r="Z138" t="s">
        <v>326</v>
      </c>
    </row>
    <row r="139" spans="1:26" x14ac:dyDescent="0.35">
      <c r="A139" t="s">
        <v>159</v>
      </c>
      <c r="B139">
        <v>2025</v>
      </c>
      <c r="C139">
        <v>6</v>
      </c>
      <c r="D139" t="s">
        <v>173</v>
      </c>
      <c r="E139">
        <v>3</v>
      </c>
      <c r="F139">
        <v>0.35</v>
      </c>
      <c r="G139">
        <v>1.8171373754739761E-2</v>
      </c>
      <c r="H139">
        <v>4.1198130697011948E-2</v>
      </c>
      <c r="I139">
        <v>3.1063521280884739E-2</v>
      </c>
      <c r="J139">
        <v>0.25289657711982733</v>
      </c>
      <c r="K139">
        <v>0.13515403866767881</v>
      </c>
      <c r="L139">
        <v>6.8502336740493774E-2</v>
      </c>
      <c r="M139">
        <v>0.78121203184127808</v>
      </c>
      <c r="N139">
        <v>-0.71983081102371216</v>
      </c>
      <c r="O139">
        <v>-0.32727530598640442</v>
      </c>
      <c r="P139">
        <v>0.42562231421470642</v>
      </c>
      <c r="Q139">
        <v>0.42444705963134771</v>
      </c>
      <c r="R139">
        <v>2</v>
      </c>
      <c r="S139">
        <v>10</v>
      </c>
      <c r="T139" t="s">
        <v>312</v>
      </c>
      <c r="U139">
        <v>2.5192139403442462</v>
      </c>
      <c r="V139">
        <v>0.38552093814236249</v>
      </c>
      <c r="W139">
        <v>99.1</v>
      </c>
      <c r="X139">
        <v>100</v>
      </c>
      <c r="Y139">
        <v>99.4</v>
      </c>
      <c r="Z139" t="s">
        <v>325</v>
      </c>
    </row>
    <row r="140" spans="1:26" x14ac:dyDescent="0.35">
      <c r="A140" t="s">
        <v>160</v>
      </c>
      <c r="B140">
        <v>2025</v>
      </c>
      <c r="C140">
        <v>7</v>
      </c>
      <c r="D140" t="s">
        <v>174</v>
      </c>
      <c r="E140">
        <v>4</v>
      </c>
      <c r="F140">
        <v>10.79</v>
      </c>
      <c r="G140">
        <v>0.57986140251159668</v>
      </c>
      <c r="H140">
        <v>0.54524081945419312</v>
      </c>
      <c r="I140">
        <v>0.53791391849517822</v>
      </c>
      <c r="J140">
        <v>0.58781373500823975</v>
      </c>
      <c r="K140">
        <v>0.53824591636657715</v>
      </c>
      <c r="L140">
        <v>0.492258220911026</v>
      </c>
      <c r="M140">
        <v>4.4326722621917718E-2</v>
      </c>
      <c r="N140">
        <v>-3.7573583424091339E-2</v>
      </c>
      <c r="O140">
        <v>-4.4626407325267792E-2</v>
      </c>
      <c r="P140">
        <v>0.2675095796585083</v>
      </c>
      <c r="Q140">
        <v>4.6040751039981842E-2</v>
      </c>
      <c r="R140">
        <v>2</v>
      </c>
      <c r="S140">
        <v>10</v>
      </c>
      <c r="T140" t="s">
        <v>313</v>
      </c>
      <c r="U140">
        <v>6.2212470285881611</v>
      </c>
      <c r="V140">
        <v>8.1805282192703999E-7</v>
      </c>
      <c r="W140">
        <v>73</v>
      </c>
      <c r="X140">
        <v>0.1</v>
      </c>
      <c r="Y140">
        <v>51.1</v>
      </c>
      <c r="Z140" t="s">
        <v>327</v>
      </c>
    </row>
    <row r="141" spans="1:26" x14ac:dyDescent="0.35">
      <c r="A141" t="s">
        <v>161</v>
      </c>
      <c r="B141">
        <v>2025</v>
      </c>
      <c r="C141">
        <v>7</v>
      </c>
      <c r="D141" t="s">
        <v>174</v>
      </c>
      <c r="E141">
        <v>4</v>
      </c>
      <c r="F141">
        <v>2.17</v>
      </c>
      <c r="G141">
        <v>8.6010783910751343E-2</v>
      </c>
      <c r="H141">
        <v>0.102527029812336</v>
      </c>
      <c r="I141">
        <v>0.1030294224619865</v>
      </c>
      <c r="J141">
        <v>0.27113893628120422</v>
      </c>
      <c r="K141">
        <v>0.19851499795913699</v>
      </c>
      <c r="L141">
        <v>0.14596471190452581</v>
      </c>
      <c r="M141">
        <v>0.44928839802741999</v>
      </c>
      <c r="N141">
        <v>-0.4512370228767395</v>
      </c>
      <c r="O141">
        <v>-0.15254972875118261</v>
      </c>
      <c r="P141">
        <v>0.33777695894241327</v>
      </c>
      <c r="Q141">
        <v>0.28846186399459839</v>
      </c>
      <c r="R141">
        <v>2</v>
      </c>
      <c r="S141">
        <v>10</v>
      </c>
      <c r="T141" t="s">
        <v>314</v>
      </c>
      <c r="U141">
        <v>2.678333580136226</v>
      </c>
      <c r="V141">
        <v>0.30510237342353569</v>
      </c>
      <c r="W141">
        <v>94.6</v>
      </c>
      <c r="X141">
        <v>100</v>
      </c>
      <c r="Y141">
        <v>96.2</v>
      </c>
      <c r="Z141" t="s">
        <v>325</v>
      </c>
    </row>
    <row r="142" spans="1:26" x14ac:dyDescent="0.35">
      <c r="A142" t="s">
        <v>162</v>
      </c>
      <c r="B142">
        <v>2025</v>
      </c>
      <c r="C142">
        <v>7</v>
      </c>
      <c r="D142" t="s">
        <v>174</v>
      </c>
      <c r="E142">
        <v>4</v>
      </c>
      <c r="F142">
        <v>12.5</v>
      </c>
      <c r="G142">
        <v>0.33308297395706182</v>
      </c>
      <c r="H142">
        <v>0.344777911901474</v>
      </c>
      <c r="I142">
        <v>0.35568857192993159</v>
      </c>
      <c r="J142">
        <v>0.45144537091255188</v>
      </c>
      <c r="K142">
        <v>0.439301997423172</v>
      </c>
      <c r="L142">
        <v>0.40021809935569758</v>
      </c>
      <c r="M142">
        <v>0.1186380535364151</v>
      </c>
      <c r="N142">
        <v>-0.1339667737483978</v>
      </c>
      <c r="O142">
        <v>-4.6555045992136002E-2</v>
      </c>
      <c r="P142">
        <v>0.2201397716999054</v>
      </c>
      <c r="Q142">
        <v>0.1098856031894684</v>
      </c>
      <c r="R142">
        <v>2</v>
      </c>
      <c r="S142">
        <v>10</v>
      </c>
      <c r="T142" t="s">
        <v>315</v>
      </c>
      <c r="U142">
        <v>4.1202114710856543</v>
      </c>
      <c r="V142">
        <v>9.37132498688098E-3</v>
      </c>
      <c r="W142">
        <v>68.8</v>
      </c>
      <c r="X142">
        <v>100</v>
      </c>
      <c r="Y142">
        <v>78.2</v>
      </c>
      <c r="Z142" t="s">
        <v>328</v>
      </c>
    </row>
    <row r="143" spans="1:26" x14ac:dyDescent="0.35">
      <c r="A143" t="s">
        <v>163</v>
      </c>
      <c r="B143">
        <v>2025</v>
      </c>
      <c r="C143">
        <v>7</v>
      </c>
      <c r="D143" t="s">
        <v>174</v>
      </c>
      <c r="E143">
        <v>4</v>
      </c>
      <c r="F143">
        <v>8.86</v>
      </c>
      <c r="G143">
        <v>0.40643095970153809</v>
      </c>
      <c r="H143">
        <v>0.39870432019233698</v>
      </c>
      <c r="I143">
        <v>0.39752694964408869</v>
      </c>
      <c r="J143">
        <v>0.47728019952774048</v>
      </c>
      <c r="K143">
        <v>0.42898553609848022</v>
      </c>
      <c r="L143">
        <v>0.39811804890632629</v>
      </c>
      <c r="M143">
        <v>9.1166667640209198E-2</v>
      </c>
      <c r="N143">
        <v>-8.9700073003768921E-2</v>
      </c>
      <c r="O143">
        <v>-3.7319976836442947E-2</v>
      </c>
      <c r="P143">
        <v>0.2448793351650238</v>
      </c>
      <c r="Q143">
        <v>8.7015748023986816E-2</v>
      </c>
      <c r="R143">
        <v>2</v>
      </c>
      <c r="S143">
        <v>10</v>
      </c>
      <c r="T143" t="s">
        <v>316</v>
      </c>
      <c r="U143">
        <v>2.4455847998524232</v>
      </c>
      <c r="V143">
        <v>0.42533476644409918</v>
      </c>
      <c r="W143">
        <v>77.8</v>
      </c>
      <c r="X143">
        <v>100</v>
      </c>
      <c r="Y143">
        <v>84.5</v>
      </c>
      <c r="Z143" t="s">
        <v>326</v>
      </c>
    </row>
    <row r="144" spans="1:26" x14ac:dyDescent="0.35">
      <c r="A144" t="s">
        <v>164</v>
      </c>
      <c r="B144">
        <v>2025</v>
      </c>
      <c r="C144">
        <v>7</v>
      </c>
      <c r="D144" t="s">
        <v>174</v>
      </c>
      <c r="E144">
        <v>4</v>
      </c>
      <c r="F144">
        <v>3.49</v>
      </c>
      <c r="G144">
        <v>5.5407576262950897E-2</v>
      </c>
      <c r="H144">
        <v>7.561202347278595E-2</v>
      </c>
      <c r="I144">
        <v>7.4433811008930206E-2</v>
      </c>
      <c r="J144">
        <v>0.24147818982601171</v>
      </c>
      <c r="K144">
        <v>0.1778118163347244</v>
      </c>
      <c r="L144">
        <v>0.1124654188752174</v>
      </c>
      <c r="M144">
        <v>0.52876865863800049</v>
      </c>
      <c r="N144">
        <v>-0.52308827638626099</v>
      </c>
      <c r="O144">
        <v>-0.22511719167232511</v>
      </c>
      <c r="P144">
        <v>0.32817524671554571</v>
      </c>
      <c r="Q144">
        <v>0.30709996819496149</v>
      </c>
      <c r="R144">
        <v>2</v>
      </c>
      <c r="S144">
        <v>10</v>
      </c>
      <c r="T144" t="s">
        <v>317</v>
      </c>
      <c r="U144">
        <v>1.60188611176095</v>
      </c>
      <c r="V144">
        <v>0.86100485937856652</v>
      </c>
      <c r="W144">
        <v>91.3</v>
      </c>
      <c r="X144">
        <v>100</v>
      </c>
      <c r="Y144">
        <v>93.9</v>
      </c>
      <c r="Z144" t="s">
        <v>325</v>
      </c>
    </row>
    <row r="145" spans="1:26" x14ac:dyDescent="0.35">
      <c r="A145" t="s">
        <v>165</v>
      </c>
      <c r="B145">
        <v>2025</v>
      </c>
      <c r="C145">
        <v>7</v>
      </c>
      <c r="D145" t="s">
        <v>174</v>
      </c>
      <c r="E145">
        <v>4</v>
      </c>
      <c r="F145">
        <v>0</v>
      </c>
      <c r="G145">
        <v>2.4984294548630711E-2</v>
      </c>
      <c r="H145">
        <v>4.3919824063777917E-2</v>
      </c>
      <c r="I145">
        <v>4.2085174471139908E-2</v>
      </c>
      <c r="J145">
        <v>0.21574828028678891</v>
      </c>
      <c r="K145">
        <v>0.14735391736030579</v>
      </c>
      <c r="L145">
        <v>8.4281675517559052E-2</v>
      </c>
      <c r="M145">
        <v>0.67354762554168701</v>
      </c>
      <c r="N145">
        <v>-0.66172331571578979</v>
      </c>
      <c r="O145">
        <v>-0.27229079604148859</v>
      </c>
      <c r="P145">
        <v>0.33895349502563482</v>
      </c>
      <c r="Q145">
        <v>0.34373602271080023</v>
      </c>
      <c r="R145">
        <v>2</v>
      </c>
      <c r="S145">
        <v>10</v>
      </c>
      <c r="T145" t="s">
        <v>318</v>
      </c>
      <c r="U145">
        <v>1.763858511533142</v>
      </c>
      <c r="V145">
        <v>0.79476666699984944</v>
      </c>
      <c r="W145">
        <v>100</v>
      </c>
      <c r="X145">
        <v>100</v>
      </c>
      <c r="Y145">
        <v>100</v>
      </c>
      <c r="Z145" t="s">
        <v>325</v>
      </c>
    </row>
    <row r="146" spans="1:26" x14ac:dyDescent="0.35">
      <c r="A146" t="s">
        <v>166</v>
      </c>
      <c r="B146">
        <v>2025</v>
      </c>
      <c r="C146">
        <v>8</v>
      </c>
      <c r="D146" t="s">
        <v>174</v>
      </c>
      <c r="E146">
        <v>4</v>
      </c>
      <c r="F146">
        <v>2.96</v>
      </c>
      <c r="G146">
        <v>3.3837493509054177E-2</v>
      </c>
      <c r="H146">
        <v>5.5591519922018051E-2</v>
      </c>
      <c r="I146">
        <v>5.3075004369020462E-2</v>
      </c>
      <c r="J146">
        <v>0.22810317575931549</v>
      </c>
      <c r="K146">
        <v>0.1583270728588104</v>
      </c>
      <c r="L146">
        <v>9.238220751285553E-2</v>
      </c>
      <c r="M146">
        <v>0.62248134613037109</v>
      </c>
      <c r="N146">
        <v>-0.6080891489982605</v>
      </c>
      <c r="O146">
        <v>-0.2630331814289093</v>
      </c>
      <c r="P146">
        <v>0.33847454190254211</v>
      </c>
      <c r="Q146">
        <v>0.3360849916934967</v>
      </c>
      <c r="R146">
        <v>2</v>
      </c>
      <c r="S146">
        <v>10</v>
      </c>
      <c r="T146" t="s">
        <v>319</v>
      </c>
      <c r="U146">
        <v>1.293319635245529</v>
      </c>
      <c r="V146">
        <v>0.94721119863095471</v>
      </c>
      <c r="W146">
        <v>92.6</v>
      </c>
      <c r="X146">
        <v>100</v>
      </c>
      <c r="Y146">
        <v>94.8</v>
      </c>
      <c r="Z146" t="s">
        <v>325</v>
      </c>
    </row>
    <row r="147" spans="1:26" x14ac:dyDescent="0.35">
      <c r="A147" t="s">
        <v>167</v>
      </c>
      <c r="B147">
        <v>2025</v>
      </c>
      <c r="C147">
        <v>8</v>
      </c>
      <c r="D147" t="s">
        <v>174</v>
      </c>
      <c r="E147">
        <v>4</v>
      </c>
      <c r="F147">
        <v>5.75</v>
      </c>
      <c r="G147">
        <v>0.137460857629776</v>
      </c>
      <c r="H147">
        <v>0.1477766036987305</v>
      </c>
      <c r="I147">
        <v>0.143596276640892</v>
      </c>
      <c r="J147">
        <v>0.29367321729660029</v>
      </c>
      <c r="K147">
        <v>0.24542905390262601</v>
      </c>
      <c r="L147">
        <v>0.1736642271280289</v>
      </c>
      <c r="M147">
        <v>0.34321382641792297</v>
      </c>
      <c r="N147">
        <v>-0.330494225025177</v>
      </c>
      <c r="O147">
        <v>-0.1712383180856705</v>
      </c>
      <c r="P147">
        <v>0.33371362090110779</v>
      </c>
      <c r="Q147">
        <v>0.24018216133117681</v>
      </c>
      <c r="R147">
        <v>2</v>
      </c>
      <c r="S147">
        <v>10</v>
      </c>
      <c r="T147" t="s">
        <v>320</v>
      </c>
      <c r="U147">
        <v>2.3703461743958578</v>
      </c>
      <c r="V147">
        <v>0.46724675761375811</v>
      </c>
      <c r="W147">
        <v>85.6</v>
      </c>
      <c r="X147">
        <v>100</v>
      </c>
      <c r="Y147">
        <v>89.9</v>
      </c>
      <c r="Z147" t="s">
        <v>326</v>
      </c>
    </row>
    <row r="148" spans="1:26" x14ac:dyDescent="0.35">
      <c r="A148" t="s">
        <v>167</v>
      </c>
      <c r="B148">
        <v>2025</v>
      </c>
      <c r="C148">
        <v>8</v>
      </c>
      <c r="D148" t="s">
        <v>174</v>
      </c>
      <c r="E148">
        <v>4</v>
      </c>
      <c r="F148">
        <v>7.55</v>
      </c>
      <c r="G148">
        <v>0.137460857629776</v>
      </c>
      <c r="H148">
        <v>0.1477766036987305</v>
      </c>
      <c r="I148">
        <v>0.143596276640892</v>
      </c>
      <c r="J148">
        <v>0.29367321729660029</v>
      </c>
      <c r="K148">
        <v>0.24542905390262601</v>
      </c>
      <c r="L148">
        <v>0.1736642271280289</v>
      </c>
      <c r="M148">
        <v>0.34321382641792297</v>
      </c>
      <c r="N148">
        <v>-0.330494225025177</v>
      </c>
      <c r="O148">
        <v>-0.1712383180856705</v>
      </c>
      <c r="P148">
        <v>0.33371362090110779</v>
      </c>
      <c r="Q148">
        <v>0.24018216133117681</v>
      </c>
      <c r="R148">
        <v>2</v>
      </c>
      <c r="S148">
        <v>10</v>
      </c>
      <c r="T148" t="s">
        <v>321</v>
      </c>
      <c r="U148">
        <v>2.3703461743958578</v>
      </c>
      <c r="V148">
        <v>0.46724675761375811</v>
      </c>
      <c r="W148">
        <v>81.099999999999994</v>
      </c>
      <c r="X148">
        <v>100</v>
      </c>
      <c r="Y148">
        <v>86.8</v>
      </c>
      <c r="Z148" t="s">
        <v>326</v>
      </c>
    </row>
    <row r="149" spans="1:26" x14ac:dyDescent="0.35">
      <c r="A149" t="s">
        <v>168</v>
      </c>
      <c r="B149">
        <v>2025</v>
      </c>
      <c r="C149">
        <v>8</v>
      </c>
      <c r="D149" t="s">
        <v>174</v>
      </c>
      <c r="E149">
        <v>4</v>
      </c>
      <c r="F149">
        <v>0</v>
      </c>
      <c r="G149">
        <v>3.123488649725914E-2</v>
      </c>
      <c r="H149">
        <v>5.5130697786808007E-2</v>
      </c>
      <c r="I149">
        <v>5.0428427755832672E-2</v>
      </c>
      <c r="J149">
        <v>0.2357765734195709</v>
      </c>
      <c r="K149">
        <v>0.17252182960510251</v>
      </c>
      <c r="L149">
        <v>9.7619570791721344E-2</v>
      </c>
      <c r="M149">
        <v>0.64760631322860718</v>
      </c>
      <c r="N149">
        <v>-0.62097412347793579</v>
      </c>
      <c r="O149">
        <v>-0.27727058529853821</v>
      </c>
      <c r="P149">
        <v>0.35532209277153021</v>
      </c>
      <c r="Q149">
        <v>0.35362562537193298</v>
      </c>
      <c r="R149">
        <v>2</v>
      </c>
      <c r="S149">
        <v>10</v>
      </c>
      <c r="T149" t="s">
        <v>322</v>
      </c>
      <c r="U149">
        <v>1.5503889667037749</v>
      </c>
      <c r="V149">
        <v>0.87908501516408477</v>
      </c>
      <c r="W149">
        <v>100</v>
      </c>
      <c r="X149">
        <v>100</v>
      </c>
      <c r="Y149">
        <v>100</v>
      </c>
      <c r="Z149" t="s">
        <v>325</v>
      </c>
    </row>
    <row r="150" spans="1:26" x14ac:dyDescent="0.35">
      <c r="A150" t="s">
        <v>169</v>
      </c>
      <c r="B150">
        <v>2025</v>
      </c>
      <c r="C150">
        <v>9</v>
      </c>
      <c r="D150" t="s">
        <v>174</v>
      </c>
      <c r="E150">
        <v>4</v>
      </c>
      <c r="F150">
        <v>0.1</v>
      </c>
      <c r="G150">
        <v>3.3070042729377747E-2</v>
      </c>
      <c r="H150">
        <v>5.8180239051580429E-2</v>
      </c>
      <c r="I150">
        <v>5.3644180297851563E-2</v>
      </c>
      <c r="J150">
        <v>0.24995884299278259</v>
      </c>
      <c r="K150">
        <v>0.16663908958435061</v>
      </c>
      <c r="L150">
        <v>9.2135637998580933E-2</v>
      </c>
      <c r="M150">
        <v>0.64661628007888794</v>
      </c>
      <c r="N150">
        <v>-0.62237673997879028</v>
      </c>
      <c r="O150">
        <v>-0.28790852427482599</v>
      </c>
      <c r="P150">
        <v>0.37074115872383118</v>
      </c>
      <c r="Q150">
        <v>0.36643961071968079</v>
      </c>
      <c r="R150">
        <v>2</v>
      </c>
      <c r="S150">
        <v>10</v>
      </c>
      <c r="T150" t="s">
        <v>323</v>
      </c>
      <c r="U150">
        <v>2.3158930071868711</v>
      </c>
      <c r="V150">
        <v>0.49812278659823372</v>
      </c>
      <c r="W150">
        <v>99.8</v>
      </c>
      <c r="X150">
        <v>100</v>
      </c>
      <c r="Y150">
        <v>99.9</v>
      </c>
      <c r="Z150" t="s">
        <v>325</v>
      </c>
    </row>
    <row r="151" spans="1:26" x14ac:dyDescent="0.35">
      <c r="A151" t="s">
        <v>170</v>
      </c>
      <c r="B151">
        <v>2025</v>
      </c>
      <c r="C151">
        <v>9</v>
      </c>
      <c r="D151" t="s">
        <v>174</v>
      </c>
      <c r="E151">
        <v>4</v>
      </c>
      <c r="F151">
        <v>0</v>
      </c>
      <c r="G151">
        <v>3.0698610469698909E-2</v>
      </c>
      <c r="H151">
        <v>5.4261166602373123E-2</v>
      </c>
      <c r="I151">
        <v>5.1196277141571038E-2</v>
      </c>
      <c r="J151">
        <v>0.23485326766967771</v>
      </c>
      <c r="K151">
        <v>0.1702087074518204</v>
      </c>
      <c r="L151">
        <v>9.7687996923923492E-2</v>
      </c>
      <c r="M151">
        <v>0.64204609394073486</v>
      </c>
      <c r="N151">
        <v>-0.62463879585266113</v>
      </c>
      <c r="O151">
        <v>-0.2707040011882782</v>
      </c>
      <c r="P151">
        <v>0.35001182556152338</v>
      </c>
      <c r="Q151">
        <v>0.35046833753585821</v>
      </c>
      <c r="R151">
        <v>2</v>
      </c>
      <c r="S151">
        <v>10</v>
      </c>
      <c r="T151" t="s">
        <v>324</v>
      </c>
      <c r="U151">
        <v>1.5640105541731859</v>
      </c>
      <c r="V151">
        <v>0.87444729851350678</v>
      </c>
      <c r="W151">
        <v>100</v>
      </c>
      <c r="X151">
        <v>100</v>
      </c>
      <c r="Y151">
        <v>100</v>
      </c>
      <c r="Z151" t="s">
        <v>325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530D7-7A51-4B6F-8290-F237F49AC05B}">
  <dimension ref="C2:J8"/>
  <sheetViews>
    <sheetView showGridLines="0" tabSelected="1" workbookViewId="0">
      <selection activeCell="K12" sqref="K12"/>
    </sheetView>
  </sheetViews>
  <sheetFormatPr defaultColWidth="10.1796875" defaultRowHeight="18" x14ac:dyDescent="0.35"/>
  <cols>
    <col min="1" max="2" width="10.1796875" style="3"/>
    <col min="3" max="3" width="17.6328125" style="4" customWidth="1"/>
    <col min="4" max="8" width="10.6328125" style="6" customWidth="1"/>
    <col min="9" max="9" width="10.6328125" style="5" customWidth="1"/>
    <col min="10" max="10" width="10.6328125" style="7" customWidth="1"/>
    <col min="11" max="16384" width="10.1796875" style="3"/>
  </cols>
  <sheetData>
    <row r="2" spans="3:10" s="2" customFormat="1" ht="20" customHeight="1" x14ac:dyDescent="0.35">
      <c r="C2" s="18" t="s">
        <v>329</v>
      </c>
      <c r="D2" s="19">
        <v>2021</v>
      </c>
      <c r="E2" s="19">
        <v>2022</v>
      </c>
      <c r="F2" s="19">
        <v>2023</v>
      </c>
      <c r="G2" s="19">
        <v>2024</v>
      </c>
      <c r="H2" s="19">
        <v>2025</v>
      </c>
      <c r="I2" s="19" t="s">
        <v>334</v>
      </c>
      <c r="J2" s="20" t="s">
        <v>335</v>
      </c>
    </row>
    <row r="3" spans="3:10" ht="20" customHeight="1" x14ac:dyDescent="0.35">
      <c r="C3" s="8" t="s">
        <v>330</v>
      </c>
      <c r="D3" s="9">
        <f>COUNTIFS(Dataset!$D$2:$D$151,$C3,Dataset!$B$2:$B$151,D$2)</f>
        <v>6</v>
      </c>
      <c r="E3" s="9">
        <f>COUNTIFS(Dataset!$D$2:$D$151,$C3,Dataset!$B$2:$B$151,E$2)</f>
        <v>12</v>
      </c>
      <c r="F3" s="9">
        <f>COUNTIFS(Dataset!$D$2:$D$151,$C3,Dataset!$B$2:$B$151,F$2)</f>
        <v>3</v>
      </c>
      <c r="G3" s="9">
        <f>COUNTIFS(Dataset!$D$2:$D$151,$C3,Dataset!$B$2:$B$151,G$2)</f>
        <v>8</v>
      </c>
      <c r="H3" s="9">
        <f>COUNTIFS(Dataset!$D$2:$D$151,$C3,Dataset!$B$2:$B$151,H$2)</f>
        <v>3</v>
      </c>
      <c r="I3" s="10">
        <f>SUM(D3:H3)</f>
        <v>32</v>
      </c>
      <c r="J3" s="11">
        <f>I3/$I$7</f>
        <v>0.21333333333333335</v>
      </c>
    </row>
    <row r="4" spans="3:10" ht="20" customHeight="1" x14ac:dyDescent="0.35">
      <c r="C4" s="8" t="s">
        <v>331</v>
      </c>
      <c r="D4" s="9">
        <f>COUNTIFS(Dataset!$D$2:$D$151,$C4,Dataset!$B$2:$B$151,D$2)</f>
        <v>3</v>
      </c>
      <c r="E4" s="9">
        <f>COUNTIFS(Dataset!$D$2:$D$151,$C4,Dataset!$B$2:$B$151,E$2)</f>
        <v>2</v>
      </c>
      <c r="F4" s="9">
        <f>COUNTIFS(Dataset!$D$2:$D$151,$C4,Dataset!$B$2:$B$151,F$2)</f>
        <v>1</v>
      </c>
      <c r="G4" s="9">
        <f>COUNTIFS(Dataset!$D$2:$D$151,$C4,Dataset!$B$2:$B$151,G$2)</f>
        <v>1</v>
      </c>
      <c r="H4" s="12">
        <f>COUNTIFS(Dataset!$D$2:$D$151,$C4,Dataset!$B$2:$B$151,H$2)</f>
        <v>0</v>
      </c>
      <c r="I4" s="10">
        <f t="shared" ref="I4:I7" si="0">SUM(D4:H4)</f>
        <v>7</v>
      </c>
      <c r="J4" s="13">
        <f t="shared" ref="J4:J7" si="1">I4/$I$7</f>
        <v>4.6666666666666669E-2</v>
      </c>
    </row>
    <row r="5" spans="3:10" ht="20" customHeight="1" x14ac:dyDescent="0.35">
      <c r="C5" s="8" t="s">
        <v>332</v>
      </c>
      <c r="D5" s="9">
        <f>COUNTIFS(Dataset!$D$2:$D$151,$C5,Dataset!$B$2:$B$151,D$2)</f>
        <v>11</v>
      </c>
      <c r="E5" s="9">
        <f>COUNTIFS(Dataset!$D$2:$D$151,$C5,Dataset!$B$2:$B$151,E$2)</f>
        <v>11</v>
      </c>
      <c r="F5" s="9">
        <f>COUNTIFS(Dataset!$D$2:$D$151,$C5,Dataset!$B$2:$B$151,F$2)</f>
        <v>9</v>
      </c>
      <c r="G5" s="9">
        <f>COUNTIFS(Dataset!$D$2:$D$151,$C5,Dataset!$B$2:$B$151,G$2)</f>
        <v>9</v>
      </c>
      <c r="H5" s="9">
        <f>COUNTIFS(Dataset!$D$2:$D$151,$C5,Dataset!$B$2:$B$151,H$2)</f>
        <v>10</v>
      </c>
      <c r="I5" s="10">
        <f t="shared" si="0"/>
        <v>50</v>
      </c>
      <c r="J5" s="11">
        <f t="shared" si="1"/>
        <v>0.33333333333333331</v>
      </c>
    </row>
    <row r="6" spans="3:10" ht="20" customHeight="1" x14ac:dyDescent="0.35">
      <c r="C6" s="8" t="s">
        <v>333</v>
      </c>
      <c r="D6" s="9">
        <f>COUNTIFS(Dataset!$D$2:$D$151,$C6,Dataset!$B$2:$B$151,D$2)</f>
        <v>10</v>
      </c>
      <c r="E6" s="9">
        <f>COUNTIFS(Dataset!$D$2:$D$151,$C6,Dataset!$B$2:$B$151,E$2)</f>
        <v>8</v>
      </c>
      <c r="F6" s="9">
        <f>COUNTIFS(Dataset!$D$2:$D$151,$C6,Dataset!$B$2:$B$151,F$2)</f>
        <v>13</v>
      </c>
      <c r="G6" s="9">
        <f>COUNTIFS(Dataset!$D$2:$D$151,$C6,Dataset!$B$2:$B$151,G$2)</f>
        <v>18</v>
      </c>
      <c r="H6" s="9">
        <f>COUNTIFS(Dataset!$D$2:$D$151,$C6,Dataset!$B$2:$B$151,H$2)</f>
        <v>12</v>
      </c>
      <c r="I6" s="10">
        <f t="shared" si="0"/>
        <v>61</v>
      </c>
      <c r="J6" s="11">
        <f t="shared" si="1"/>
        <v>0.40666666666666668</v>
      </c>
    </row>
    <row r="7" spans="3:10" s="2" customFormat="1" ht="20" customHeight="1" x14ac:dyDescent="0.35">
      <c r="C7" s="14" t="s">
        <v>334</v>
      </c>
      <c r="D7" s="10">
        <f>SUM(D3:D6)</f>
        <v>30</v>
      </c>
      <c r="E7" s="10">
        <f t="shared" ref="E7:H7" si="2">SUM(E3:E6)</f>
        <v>33</v>
      </c>
      <c r="F7" s="10">
        <f t="shared" si="2"/>
        <v>26</v>
      </c>
      <c r="G7" s="10">
        <f t="shared" si="2"/>
        <v>36</v>
      </c>
      <c r="H7" s="10">
        <f t="shared" si="2"/>
        <v>25</v>
      </c>
      <c r="I7" s="10">
        <f t="shared" si="0"/>
        <v>150</v>
      </c>
      <c r="J7" s="11">
        <f t="shared" si="1"/>
        <v>1</v>
      </c>
    </row>
    <row r="8" spans="3:10" ht="20" customHeight="1" x14ac:dyDescent="0.35">
      <c r="C8" s="16" t="s">
        <v>335</v>
      </c>
      <c r="D8" s="17">
        <f>D7/$I$7</f>
        <v>0.2</v>
      </c>
      <c r="E8" s="17">
        <f t="shared" ref="E8:I8" si="3">E7/$I$7</f>
        <v>0.22</v>
      </c>
      <c r="F8" s="17">
        <f t="shared" si="3"/>
        <v>0.17333333333333334</v>
      </c>
      <c r="G8" s="17">
        <f t="shared" si="3"/>
        <v>0.24</v>
      </c>
      <c r="H8" s="17">
        <f t="shared" si="3"/>
        <v>0.16666666666666666</v>
      </c>
      <c r="I8" s="17">
        <f t="shared" si="3"/>
        <v>1</v>
      </c>
      <c r="J8" s="1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Dataset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Renato Gomes de Oliveira</cp:lastModifiedBy>
  <dcterms:created xsi:type="dcterms:W3CDTF">2025-12-06T22:27:37Z</dcterms:created>
  <dcterms:modified xsi:type="dcterms:W3CDTF">2025-12-07T22:03:24Z</dcterms:modified>
</cp:coreProperties>
</file>